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Панель" sheetId="2" r:id="rId1"/>
    <sheet name="Реестр" sheetId="1" r:id="rId2"/>
    <sheet name="Scanned" sheetId="5" r:id="rId3"/>
    <sheet name="Клиент 7" sheetId="41" r:id="rId4"/>
    <sheet name="Клиент 8" sheetId="40" r:id="rId5"/>
    <sheet name="Штрихкод" sheetId="39" r:id="rId6"/>
    <sheet name="Переизбыток" sheetId="34" r:id="rId7"/>
    <sheet name="Клиент" sheetId="8" state="hidden" r:id="rId8"/>
  </sheets>
  <functionGroups builtInGroupCount="18"/>
  <calcPr calcId="152511"/>
</workbook>
</file>

<file path=xl/calcChain.xml><?xml version="1.0" encoding="utf-8"?>
<calcChain xmlns="http://schemas.openxmlformats.org/spreadsheetml/2006/main">
  <c r="A2" i="39" l="1"/>
  <c r="F470" i="1" l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173" i="1"/>
  <c r="F172" i="1"/>
  <c r="F65" i="1"/>
</calcChain>
</file>

<file path=xl/sharedStrings.xml><?xml version="1.0" encoding="utf-8"?>
<sst xmlns="http://schemas.openxmlformats.org/spreadsheetml/2006/main" count="2056" uniqueCount="951">
  <si>
    <t>БРЕНД</t>
  </si>
  <si>
    <t>АРТ.</t>
  </si>
  <si>
    <t>ОПИСАНИЕ</t>
  </si>
  <si>
    <t>КОЛ-ВО</t>
  </si>
  <si>
    <t>ЦЕНА</t>
  </si>
  <si>
    <t>СУММА</t>
  </si>
  <si>
    <t>СКЛАД</t>
  </si>
  <si>
    <t>КЛИЕНТ</t>
  </si>
  <si>
    <t>ПРИМЕЧАНИЯ</t>
  </si>
  <si>
    <t>ДОП. ИНФО</t>
  </si>
  <si>
    <t>ИНД.НОМЕР</t>
  </si>
  <si>
    <t>ШТРИХКОД</t>
  </si>
  <si>
    <t>ДАТА</t>
  </si>
  <si>
    <t>ZIMMERMANN</t>
  </si>
  <si>
    <t>Комплект тормозных колодок, дисковый тормоз</t>
  </si>
  <si>
    <t>A.B.S.</t>
  </si>
  <si>
    <t>Тормозной шланг</t>
  </si>
  <si>
    <t>LEMFORDER</t>
  </si>
  <si>
    <t>м</t>
  </si>
  <si>
    <t>GSP</t>
  </si>
  <si>
    <t>INA</t>
  </si>
  <si>
    <t>427100530</t>
  </si>
  <si>
    <t>FEBI BILSTEIN</t>
  </si>
  <si>
    <t>GATES</t>
  </si>
  <si>
    <t>5419XS</t>
  </si>
  <si>
    <t>Ремень ГРМ</t>
  </si>
  <si>
    <t>FB5PK1300</t>
  </si>
  <si>
    <t>31583</t>
  </si>
  <si>
    <t>Датчик</t>
  </si>
  <si>
    <t>82085</t>
  </si>
  <si>
    <t>Колесный тормозной цилиндр</t>
  </si>
  <si>
    <t>200630</t>
  </si>
  <si>
    <t>Комплект подшипника ступицы колеса</t>
  </si>
  <si>
    <t>71031</t>
  </si>
  <si>
    <t>Главный цилиндр, система сцепления</t>
  </si>
  <si>
    <t>AJUSA</t>
  </si>
  <si>
    <t>10101100</t>
  </si>
  <si>
    <t>Прокладка, головка цилиндра</t>
  </si>
  <si>
    <t>п1</t>
  </si>
  <si>
    <t>AKUSAN</t>
  </si>
  <si>
    <t>TR1355</t>
  </si>
  <si>
    <t>прокладка</t>
  </si>
  <si>
    <t>ATE</t>
  </si>
  <si>
    <t>11817100221</t>
  </si>
  <si>
    <t>Направляющая гильза, корпус скобы тормоза</t>
  </si>
  <si>
    <t>11817100961</t>
  </si>
  <si>
    <t>комплект направляющей</t>
  </si>
  <si>
    <t>BM CATALYSTS</t>
  </si>
  <si>
    <t>BM91710H</t>
  </si>
  <si>
    <t>Катализатор</t>
  </si>
  <si>
    <t>п</t>
  </si>
  <si>
    <t>BOSCH</t>
  </si>
  <si>
    <t>F00M147777</t>
  </si>
  <si>
    <t>Подшипник</t>
  </si>
  <si>
    <t>CX</t>
  </si>
  <si>
    <t>CX616</t>
  </si>
  <si>
    <t>DENSO</t>
  </si>
  <si>
    <t>DCP32068</t>
  </si>
  <si>
    <t>Компрессор, кондиционер</t>
  </si>
  <si>
    <t>DCN10032</t>
  </si>
  <si>
    <t>Конденсатор, кондиционер</t>
  </si>
  <si>
    <t>DCP32073</t>
  </si>
  <si>
    <t>компрессор</t>
  </si>
  <si>
    <t>FA1</t>
  </si>
  <si>
    <t>642695100</t>
  </si>
  <si>
    <t>Шайба тепловой защиты, система впрыска</t>
  </si>
  <si>
    <t>9858351035</t>
  </si>
  <si>
    <t>Болт, система выпуска</t>
  </si>
  <si>
    <t>412515</t>
  </si>
  <si>
    <t>Прокладка, компрессор</t>
  </si>
  <si>
    <t>551948</t>
  </si>
  <si>
    <t>Уплотнительное кольцо, труба выхлопного газа</t>
  </si>
  <si>
    <t>554913</t>
  </si>
  <si>
    <t>Соединительные элементы, система выпуска</t>
  </si>
  <si>
    <t>921955</t>
  </si>
  <si>
    <t>FAI AUTOPARTS</t>
  </si>
  <si>
    <t>OP290</t>
  </si>
  <si>
    <t>Масляный насос</t>
  </si>
  <si>
    <t>100783</t>
  </si>
  <si>
    <t>Резиновый рукав вооружить</t>
  </si>
  <si>
    <t>03280</t>
  </si>
  <si>
    <t>Термовыключатель, вентилятор радиатора</t>
  </si>
  <si>
    <t>K015645XS</t>
  </si>
  <si>
    <t>Комплект ремня ГРМ</t>
  </si>
  <si>
    <t>635013</t>
  </si>
  <si>
    <t>Шарнирный комплект, приводной вал</t>
  </si>
  <si>
    <t>HELLA</t>
  </si>
  <si>
    <t>2BA964255021</t>
  </si>
  <si>
    <t>Фонарь указателя поворота</t>
  </si>
  <si>
    <t>9GS351337441</t>
  </si>
  <si>
    <t>Трубопровод высокого давления, кондиционер</t>
  </si>
  <si>
    <t>КОЛЕСО РАСПРЕДВАЛА OPEL ASTRA 1.6 06-</t>
  </si>
  <si>
    <t>JANMOR</t>
  </si>
  <si>
    <t>AM8</t>
  </si>
  <si>
    <t>Комплект проводов зажигания</t>
  </si>
  <si>
    <t>JT</t>
  </si>
  <si>
    <t>JTF33917</t>
  </si>
  <si>
    <t>ДВИЖУЩАЯ ПЕРЕДАЧА ПЕРЕДНЕГО МОТО. СТАЛЬ</t>
  </si>
  <si>
    <t>JTF33917RB</t>
  </si>
  <si>
    <t>ПРИВОДНАЯ ЦЕПЬ С ВИБРАТОРАМИ ПЕРЕДНЕГО МОТО. СТАЛЬ</t>
  </si>
  <si>
    <t>JTR82943</t>
  </si>
  <si>
    <t>Звезда</t>
  </si>
  <si>
    <t>KILEN</t>
  </si>
  <si>
    <t>17254</t>
  </si>
  <si>
    <t>Пружина ходовой части</t>
  </si>
  <si>
    <t>KOLBENSCHMIDT</t>
  </si>
  <si>
    <t>77907610</t>
  </si>
  <si>
    <t>Вкладыши. VW GOLF 1.8TSI 05-</t>
  </si>
  <si>
    <t>3821301</t>
  </si>
  <si>
    <t>Поперечный рычаг, подвеска колеса</t>
  </si>
  <si>
    <t>LINEX</t>
  </si>
  <si>
    <t>357810</t>
  </si>
  <si>
    <t>Трос, стояночный тормоз</t>
  </si>
  <si>
    <t>324402</t>
  </si>
  <si>
    <t>Трос</t>
  </si>
  <si>
    <t>MEAT&amp;DORIA</t>
  </si>
  <si>
    <t>89217</t>
  </si>
  <si>
    <t>Дроссельный орган FIAT GRANDE PUNTO 1.8MJT 05-</t>
  </si>
  <si>
    <t>METELLI</t>
  </si>
  <si>
    <t>041023</t>
  </si>
  <si>
    <t>NGK</t>
  </si>
  <si>
    <t>LB05EPK</t>
  </si>
  <si>
    <t>Вилка</t>
  </si>
  <si>
    <t>RCX140</t>
  </si>
  <si>
    <t>провод</t>
  </si>
  <si>
    <t>NISSENS</t>
  </si>
  <si>
    <t>625081</t>
  </si>
  <si>
    <t>Радиатор, охлаждение двигателя</t>
  </si>
  <si>
    <t>940765</t>
  </si>
  <si>
    <t>Радиатор</t>
  </si>
  <si>
    <t>NRF</t>
  </si>
  <si>
    <t>38814</t>
  </si>
  <si>
    <t>Резинометалик</t>
  </si>
  <si>
    <t>PURFLUX</t>
  </si>
  <si>
    <t>L1039A</t>
  </si>
  <si>
    <t>Фильтр</t>
  </si>
  <si>
    <t>QUICK BRAKE</t>
  </si>
  <si>
    <t>10253020</t>
  </si>
  <si>
    <t>Регулятор расширителя, тормозная система</t>
  </si>
  <si>
    <t>3257</t>
  </si>
  <si>
    <t>RAPRO</t>
  </si>
  <si>
    <t>R19284</t>
  </si>
  <si>
    <t>ЛИНИЯ КАБЕЛЬ BMW E38 ОХЛАДИТЕЛИ</t>
  </si>
  <si>
    <t>RENAULT</t>
  </si>
  <si>
    <t>8200945035</t>
  </si>
  <si>
    <t>Шестерня, коленчатый вал</t>
  </si>
  <si>
    <t>SACHS</t>
  </si>
  <si>
    <t>997998</t>
  </si>
  <si>
    <t>SNR</t>
  </si>
  <si>
    <t>CN15X16</t>
  </si>
  <si>
    <t>Шарнир</t>
  </si>
  <si>
    <t>IBK68003</t>
  </si>
  <si>
    <t>Комплект щитов, приводной вал</t>
  </si>
  <si>
    <t>TEDGUM</t>
  </si>
  <si>
    <t>00724121</t>
  </si>
  <si>
    <t>Пол кузова</t>
  </si>
  <si>
    <t>00139235</t>
  </si>
  <si>
    <t>CHRYSLER BEAM SLEEVE T. PACIFICA 3.5 / 4.0 03-08</t>
  </si>
  <si>
    <t>00139236</t>
  </si>
  <si>
    <t>TRISCAN</t>
  </si>
  <si>
    <t>814080129</t>
  </si>
  <si>
    <t>Трос, стояночная тормозная система</t>
  </si>
  <si>
    <t>814080130</t>
  </si>
  <si>
    <t>TRUCKTEC AUTOMOTIVE</t>
  </si>
  <si>
    <t>0738060</t>
  </si>
  <si>
    <t>Топливный фильтр</t>
  </si>
  <si>
    <t>3 м</t>
  </si>
  <si>
    <t>TRW</t>
  </si>
  <si>
    <t>MCB862SI</t>
  </si>
  <si>
    <t>Колодки</t>
  </si>
  <si>
    <t>PHD213</t>
  </si>
  <si>
    <t>PHD214</t>
  </si>
  <si>
    <t>VALEO</t>
  </si>
  <si>
    <t>595617</t>
  </si>
  <si>
    <t>Ведущая шестерня, стартер</t>
  </si>
  <si>
    <t>251757</t>
  </si>
  <si>
    <t>Выключатель</t>
  </si>
  <si>
    <t>VICMA</t>
  </si>
  <si>
    <t>EY315I</t>
  </si>
  <si>
    <t>МОТО ЗЕРКАЛО. YAMHA FZ1 ЛЕВАЯ</t>
  </si>
  <si>
    <t>VIGOR</t>
  </si>
  <si>
    <t>V1842</t>
  </si>
  <si>
    <t>Инструмент</t>
  </si>
  <si>
    <t>223781702</t>
  </si>
  <si>
    <t>K10541</t>
  </si>
  <si>
    <t>722082</t>
  </si>
  <si>
    <t>Тормозной суппорт</t>
  </si>
  <si>
    <t>BREMBO</t>
  </si>
  <si>
    <t>A00524</t>
  </si>
  <si>
    <t>Предупреждающий контакт, износ тормозных накладок</t>
  </si>
  <si>
    <t>CORTECO</t>
  </si>
  <si>
    <t>19033580</t>
  </si>
  <si>
    <t>EBC BRAKES</t>
  </si>
  <si>
    <t>FA266</t>
  </si>
  <si>
    <t>ТОРМОЗНЫЕ КОЛОДКИ MOTO. DUCATI 1199 PANIGALE S ABS (12-14) / 1198 S CORSE (10) /</t>
  </si>
  <si>
    <t>FA447HH</t>
  </si>
  <si>
    <t>ТОРМОЗНЫЕ КОЛОДКИ MOTO. DUCATI 1199 PANIGALE ABS (12-14) / 1198 (09-11) HONDA CB</t>
  </si>
  <si>
    <t>FA067</t>
  </si>
  <si>
    <t>ТОРМОЗНЫЕ КОЛОДКИ MOTO. SUZUKI KLR 650 (95-04) / GN 125 HS (00-10) / GN 125 (94-</t>
  </si>
  <si>
    <t>ELECTRIC LIFE</t>
  </si>
  <si>
    <t>ZRAD718R</t>
  </si>
  <si>
    <t>Подъемное устройство для окон</t>
  </si>
  <si>
    <t>TCK130</t>
  </si>
  <si>
    <t>КОМПЛЕКТ ГРМ СИТРОЕН DOHC РЕЛЕ 06-, DUCATO 06-, ТРАНЗИТ 06-11, КОРОБКА BOX 06-</t>
  </si>
  <si>
    <t>105913</t>
  </si>
  <si>
    <t>Кронштейн, система выпуска ОГ</t>
  </si>
  <si>
    <t>FEBI</t>
  </si>
  <si>
    <t>47338</t>
  </si>
  <si>
    <t>Масляная краска DB C W204 КЛАСС 2.5 05-</t>
  </si>
  <si>
    <t>GKN</t>
  </si>
  <si>
    <t>306670</t>
  </si>
  <si>
    <t>Щит, карданный вал</t>
  </si>
  <si>
    <t>1A8004190101</t>
  </si>
  <si>
    <t>Основная фара</t>
  </si>
  <si>
    <t>HUCO</t>
  </si>
  <si>
    <t>133010</t>
  </si>
  <si>
    <t>Топливный насос</t>
  </si>
  <si>
    <t>HUTCHINSON</t>
  </si>
  <si>
    <t>590285</t>
  </si>
  <si>
    <t>Втулка, балка моста</t>
  </si>
  <si>
    <t>JAPAN PARTS</t>
  </si>
  <si>
    <t>PI800</t>
  </si>
  <si>
    <t>РУЛЕВОЙ КРОНШТЕЙН SUZUKI VITARA 88-98 КОМПЛЕКТАЦИЯ</t>
  </si>
  <si>
    <t>BC2066R</t>
  </si>
  <si>
    <t>Трос TOYOTA T. HILUX 2.5-3.0 D-4D 05-15 PR</t>
  </si>
  <si>
    <t>JTF158719</t>
  </si>
  <si>
    <t>4231201</t>
  </si>
  <si>
    <t>MAHLE ORIGINAL</t>
  </si>
  <si>
    <t>029HS20864000</t>
  </si>
  <si>
    <t>Комплект подшипников коленчатого вала</t>
  </si>
  <si>
    <t>AP86000P</t>
  </si>
  <si>
    <t>Трубопровод высокого давления, Кондиционер</t>
  </si>
  <si>
    <t>MEYLE</t>
  </si>
  <si>
    <t>2160600016HD</t>
  </si>
  <si>
    <t>Тяга / стойка, стабилизатор</t>
  </si>
  <si>
    <t>37160100002</t>
  </si>
  <si>
    <t>Несущий / направляющий шарнир</t>
  </si>
  <si>
    <t>60602A</t>
  </si>
  <si>
    <t>380044</t>
  </si>
  <si>
    <t>Катушка электромагнитное</t>
  </si>
  <si>
    <t>PEUGEOT</t>
  </si>
  <si>
    <t>9827870080</t>
  </si>
  <si>
    <t>Входной резистор вентилятора</t>
  </si>
  <si>
    <t>MCB804SI</t>
  </si>
  <si>
    <t>MCB710</t>
  </si>
  <si>
    <t>VAICO</t>
  </si>
  <si>
    <t>V102284</t>
  </si>
  <si>
    <t>Гидравлический фильтр, автоматическая коробка передач</t>
  </si>
  <si>
    <t>V201348</t>
  </si>
  <si>
    <t>трубка</t>
  </si>
  <si>
    <t>EY950D</t>
  </si>
  <si>
    <t>МОТО ЗЕРКАЛО. YAMAHA XJ6 09ПРАВО</t>
  </si>
  <si>
    <t>EY950I</t>
  </si>
  <si>
    <t>МОТО ЗЕРКАЛО. YAMAHA XJ6 09ВЛЕВО</t>
  </si>
  <si>
    <t>12837</t>
  </si>
  <si>
    <t>SHIFT LEVER MOTO. SUZUKI GSR 600</t>
  </si>
  <si>
    <t>VICTOR REINZ</t>
  </si>
  <si>
    <t>702649310</t>
  </si>
  <si>
    <t>224252001</t>
  </si>
  <si>
    <t>225861801</t>
  </si>
  <si>
    <t>ABS</t>
  </si>
  <si>
    <t>SL5320</t>
  </si>
  <si>
    <t>ШЛАНГ ТОРМОЗНОЙ РЕЗИНОВЫЙ</t>
  </si>
  <si>
    <t>427100430</t>
  </si>
  <si>
    <t>ШЕСТЕРНЯ ПРИВОДА РАСПРЕДЕЛИТЕЛЬНОГО ВАЛА</t>
  </si>
  <si>
    <t>Vemo</t>
  </si>
  <si>
    <t>V10721001</t>
  </si>
  <si>
    <t>ДАТЧИК ПОЛОЖЕНИЯ КОЛЕНВАЛА</t>
  </si>
  <si>
    <t>Zimmermann</t>
  </si>
  <si>
    <t>100337070</t>
  </si>
  <si>
    <t>ТОРМОЗНОЙ ДИСК</t>
  </si>
  <si>
    <t>SKV (Польша)</t>
  </si>
  <si>
    <t>28SKV073</t>
  </si>
  <si>
    <t/>
  </si>
  <si>
    <t>550913</t>
  </si>
  <si>
    <t>ПРОКЛАДКА, ТРУБА ВЫХЛОПНОГО ГАЗА</t>
  </si>
  <si>
    <t>SL6638</t>
  </si>
  <si>
    <t>ШЛАНГОПРОВОД</t>
  </si>
  <si>
    <t>Bosch</t>
  </si>
  <si>
    <t>0280150651</t>
  </si>
  <si>
    <t>ФОРСУНКА ТОПЛИВНАЯ</t>
  </si>
  <si>
    <t>Gates</t>
  </si>
  <si>
    <t>5241</t>
  </si>
  <si>
    <t>РЕМЕНЬ ПРИВОДНОЙ ЗУБЧАТЫЙ</t>
  </si>
  <si>
    <t>38421</t>
  </si>
  <si>
    <t>КЛАПАН</t>
  </si>
  <si>
    <t>Nissens</t>
  </si>
  <si>
    <t>95057</t>
  </si>
  <si>
    <t>РЕСИВЕР</t>
  </si>
  <si>
    <t>VDO</t>
  </si>
  <si>
    <t>248049004001C</t>
  </si>
  <si>
    <t>КЛАПАН УПРАВЛЕНИЯ ДАВЛЕНИЕМ</t>
  </si>
  <si>
    <t>320381620</t>
  </si>
  <si>
    <t>780930</t>
  </si>
  <si>
    <t>КРЕПЕЖНЫЙ ЭЛЕМЕНТ</t>
  </si>
  <si>
    <t>EBC Brakes</t>
  </si>
  <si>
    <t>FA192</t>
  </si>
  <si>
    <t>ТОРМОЗНЫЕ КОЛОДКИ FA192,</t>
  </si>
  <si>
    <t>FA400V</t>
  </si>
  <si>
    <t>АВТОЗЧ</t>
  </si>
  <si>
    <t>Triscan</t>
  </si>
  <si>
    <t>8140251201</t>
  </si>
  <si>
    <t>ТРОС СТОЯНОЧНОГО ТОРМОЗА</t>
  </si>
  <si>
    <t>LCC Products</t>
  </si>
  <si>
    <t>LCC7014</t>
  </si>
  <si>
    <t>INTERCARS САМОРЕГУЛЯТОР БАРАБАННЫХ КОЛОДОК</t>
  </si>
  <si>
    <t>Lemforder</t>
  </si>
  <si>
    <t>1240001</t>
  </si>
  <si>
    <t>ВТУЛКА РЫЧАГА</t>
  </si>
  <si>
    <t>Valeo</t>
  </si>
  <si>
    <t>575788</t>
  </si>
  <si>
    <t>ЩЕТКА СТЕКЛООЧИСТИТЕЛЯ</t>
  </si>
  <si>
    <t>Yuasa</t>
  </si>
  <si>
    <t>NP1212</t>
  </si>
  <si>
    <t>СТАРТЕРНАЯ АККУМУЛЯТОРНАЯ БАТАРЕЯ</t>
  </si>
  <si>
    <t>TR1326</t>
  </si>
  <si>
    <t>КОЛЬЦО РЕЗИНОВОЕ</t>
  </si>
  <si>
    <t>ск</t>
  </si>
  <si>
    <t>JMJ</t>
  </si>
  <si>
    <t>JMJ1091509</t>
  </si>
  <si>
    <t>JMJ1091509 КАТАЛИЗАТОР ШТАТНЫЙ</t>
  </si>
  <si>
    <t>JMJ1091510</t>
  </si>
  <si>
    <t>JMJ1091510 КАТАЛИЗАТОР ШТАТНЫЙ</t>
  </si>
  <si>
    <t>Izawit</t>
  </si>
  <si>
    <t>23007</t>
  </si>
  <si>
    <t>ГЛУШИТЕЛЬ</t>
  </si>
  <si>
    <t>Corteco</t>
  </si>
  <si>
    <t>19033936</t>
  </si>
  <si>
    <t>8X14X4C_[19033936] САЛЬНИК\ VW BORA/GOLF 1.42.0/</t>
  </si>
  <si>
    <t>3544901</t>
  </si>
  <si>
    <t>ОПОРА СТОЙКИ АМОРТИЗАТОРА</t>
  </si>
  <si>
    <t>KS Tools</t>
  </si>
  <si>
    <t>2012320</t>
  </si>
  <si>
    <t>BREMSSATTEL-DRAHTB?RSTE 2-REIHIG,GERADE,</t>
  </si>
  <si>
    <t>72846</t>
  </si>
  <si>
    <t>ЦИЛИНДР ТОРМОЗНОЙ</t>
  </si>
  <si>
    <t>Victor Reinz</t>
  </si>
  <si>
    <t>714212400</t>
  </si>
  <si>
    <t>ПРОКЛАДКА, ВЫПУСКНОЙ КОЛЛЕКТОР</t>
  </si>
  <si>
    <t>РЈРЏР›РЋРЎРЌР?РЎР•Р›Р¬ РЉРЋРРЏРЈРЎРЂ РЊРЂРЎР›РЇРЌ</t>
  </si>
  <si>
    <t>108219</t>
  </si>
  <si>
    <t>NTY PRZYCISK/KLAMKA POKRYWY BAGAЕ»NIKA</t>
  </si>
  <si>
    <t>BPMR8Y</t>
  </si>
  <si>
    <t>СВЕЧА</t>
  </si>
  <si>
    <t>Tedgum</t>
  </si>
  <si>
    <t>TED19746</t>
  </si>
  <si>
    <t>САЙЛЕНТБЛОК</t>
  </si>
  <si>
    <t>16SKV340</t>
  </si>
  <si>
    <t>ЗАМОК ДВЕРИ</t>
  </si>
  <si>
    <t>Meyle</t>
  </si>
  <si>
    <t>15146100007HD</t>
  </si>
  <si>
    <t>TR1323</t>
  </si>
  <si>
    <t>INTERCARS РЎР?РЎРЎР•РЊРЂ COMMON RAIL, РР›Р•РЊР•РЌ</t>
  </si>
  <si>
    <t>4243701</t>
  </si>
  <si>
    <t>TULEJA WAHLIWA JAGUAR, LAND ROVER</t>
  </si>
  <si>
    <t>V48720014</t>
  </si>
  <si>
    <t>ДАТЧИК, СИСТЕМА ПОМОЩИ ПРИ ПАРКОВКЕ</t>
  </si>
  <si>
    <t>Mahle / Knecht</t>
  </si>
  <si>
    <t>00106N1</t>
  </si>
  <si>
    <t>КОМПЛЕКТ ПОРШНЕВЫХ КОЛЕЦ</t>
  </si>
  <si>
    <t>Vaico</t>
  </si>
  <si>
    <t>V300235</t>
  </si>
  <si>
    <t>КРОНШТЕЙН ПЛАСТИКОВЫЙ</t>
  </si>
  <si>
    <t>24074111051</t>
  </si>
  <si>
    <t>ДАТЧИК СКОРОСТИ</t>
  </si>
  <si>
    <t>T38040</t>
  </si>
  <si>
    <t>ОБВОДНОЙ РОЛИК ПРИВОДА ВСПОМОГАТЕЛЬНЫХ А</t>
  </si>
  <si>
    <t>T38314</t>
  </si>
  <si>
    <t>РОЛИК</t>
  </si>
  <si>
    <t>305886</t>
  </si>
  <si>
    <t>305886_ПЫЛЬНИК ШРУСА ККТ TOYOTA COROLLA/AVENSIS</t>
  </si>
  <si>
    <t>49592</t>
  </si>
  <si>
    <t>СЦЕПЛЕНИЕ</t>
  </si>
  <si>
    <t>Denso</t>
  </si>
  <si>
    <t>DCN50059</t>
  </si>
  <si>
    <t>Радиатор кондиционера TOYOTA RAV 4 IV (ZSA4, ALA4)</t>
  </si>
  <si>
    <t>PHD1173</t>
  </si>
  <si>
    <t>ТОРМОЗНОЙ ШЛАНГ</t>
  </si>
  <si>
    <t>WP</t>
  </si>
  <si>
    <t>R139</t>
  </si>
  <si>
    <t>ПЕРЕХОДНИК ТОПЛИВНОЙ СИСТЕМЫ ДВС</t>
  </si>
  <si>
    <t>JMJ1090031</t>
  </si>
  <si>
    <t>JMJ1090031 КАТАЛИЗАТОР ШТАТНЫЙ</t>
  </si>
  <si>
    <t>0261520281</t>
  </si>
  <si>
    <t>НАСОС ТОПЛИВНЫЙ</t>
  </si>
  <si>
    <t>JanMor</t>
  </si>
  <si>
    <t>JP357</t>
  </si>
  <si>
    <t>ПРОВОДА ЭЛЕКТРИЧЕСКИЕ</t>
  </si>
  <si>
    <t>3997401</t>
  </si>
  <si>
    <t>ПОДВЕСКА</t>
  </si>
  <si>
    <t>V10730249</t>
  </si>
  <si>
    <t>ВЫКЛЮЧАТЕЛЬ, СТЕКЛОЛОДЪЕМНИК</t>
  </si>
  <si>
    <t>Hella</t>
  </si>
  <si>
    <t>6PU009168111</t>
  </si>
  <si>
    <t>ДАТЧИК</t>
  </si>
  <si>
    <t>92301</t>
  </si>
  <si>
    <t>ИСПАРИТЕЛЬ</t>
  </si>
  <si>
    <t>Ate</t>
  </si>
  <si>
    <t>3013793082</t>
  </si>
  <si>
    <t>РКТ</t>
  </si>
  <si>
    <t>3160600049HD</t>
  </si>
  <si>
    <t>Стоики стаб</t>
  </si>
  <si>
    <t>104939</t>
  </si>
  <si>
    <t>крепление</t>
  </si>
  <si>
    <t>BORSEHUNG</t>
  </si>
  <si>
    <t>B16300</t>
  </si>
  <si>
    <t>ГРМ</t>
  </si>
  <si>
    <t>9238</t>
  </si>
  <si>
    <t>Комплект тормозных колодок</t>
  </si>
  <si>
    <t>240555</t>
  </si>
  <si>
    <t>Осевой шарнир  рулевая тяга</t>
  </si>
  <si>
    <t>260719</t>
  </si>
  <si>
    <t>Тяга / стойка  стабилизатор</t>
  </si>
  <si>
    <t>260720</t>
  </si>
  <si>
    <t>K17523</t>
  </si>
  <si>
    <t>Трос  стояночная тормозная система</t>
  </si>
  <si>
    <t>SL5645</t>
  </si>
  <si>
    <t>SL5646</t>
  </si>
  <si>
    <t>17163</t>
  </si>
  <si>
    <t>Тормозной диск</t>
  </si>
  <si>
    <t>13096500</t>
  </si>
  <si>
    <t>Прокладка  впускной коллектор</t>
  </si>
  <si>
    <t>ALKAR</t>
  </si>
  <si>
    <t>6140861</t>
  </si>
  <si>
    <t>Наружное зеркало</t>
  </si>
  <si>
    <t>24530503103</t>
  </si>
  <si>
    <t>тормозной шланг</t>
  </si>
  <si>
    <t>BERU</t>
  </si>
  <si>
    <t>A200</t>
  </si>
  <si>
    <t>Антена</t>
  </si>
  <si>
    <t>BLUE PRINT</t>
  </si>
  <si>
    <t>ADK81615</t>
  </si>
  <si>
    <t>P50139</t>
  </si>
  <si>
    <t>Комплект тормозных колодок  дисковый тормоз</t>
  </si>
  <si>
    <t>COFLE</t>
  </si>
  <si>
    <t>115591</t>
  </si>
  <si>
    <t>DOLZ</t>
  </si>
  <si>
    <t>F234</t>
  </si>
  <si>
    <t>Водяной насос</t>
  </si>
  <si>
    <t>120942</t>
  </si>
  <si>
    <t>Прокладка  труба выхлопного газа</t>
  </si>
  <si>
    <t>FAE</t>
  </si>
  <si>
    <t>56051</t>
  </si>
  <si>
    <t>Клапан</t>
  </si>
  <si>
    <t>FILTRON</t>
  </si>
  <si>
    <t>PE995</t>
  </si>
  <si>
    <t>FRENKIT</t>
  </si>
  <si>
    <t>254812</t>
  </si>
  <si>
    <t>Ремкомплект  тормозной суппорт</t>
  </si>
  <si>
    <t>254814</t>
  </si>
  <si>
    <t>TH13182G1</t>
  </si>
  <si>
    <t>Термостат  охлаждающая жидкость</t>
  </si>
  <si>
    <t>T38036</t>
  </si>
  <si>
    <t>Паразитный / Ведущий ролик  клиновой ремень</t>
  </si>
  <si>
    <t>JAPANPARTS</t>
  </si>
  <si>
    <t>BC412R</t>
  </si>
  <si>
    <t>Трос HONDA T. HR-V 99PR</t>
  </si>
  <si>
    <t>KYB</t>
  </si>
  <si>
    <t>SM1023</t>
  </si>
  <si>
    <t>ПОДУШКА АМОРТ. PEUGEOT P. 3008  5008 1.6-2.0DH 06.09LE / PR</t>
  </si>
  <si>
    <t>RA3370</t>
  </si>
  <si>
    <t>Пружина TOYOTA P. AVENSIS 1.8 11.08-</t>
  </si>
  <si>
    <t>MANN-FILTER</t>
  </si>
  <si>
    <t>CF10002</t>
  </si>
  <si>
    <t>Фильтр добавочного воздуха</t>
  </si>
  <si>
    <t>30123210037</t>
  </si>
  <si>
    <t>Воздушный фильтр</t>
  </si>
  <si>
    <t>1155230042PD</t>
  </si>
  <si>
    <t>Тормозной диск AUDI T. A4 / A5 / Q5 / A6 / A7 08-</t>
  </si>
  <si>
    <t>MONROE</t>
  </si>
  <si>
    <t>L16A21</t>
  </si>
  <si>
    <t>шарнир</t>
  </si>
  <si>
    <t>RCVL608</t>
  </si>
  <si>
    <t>94516</t>
  </si>
  <si>
    <t>Конденсатор  кондиционер</t>
  </si>
  <si>
    <t>64338</t>
  </si>
  <si>
    <t>Радиатор  охлаждение двигателя</t>
  </si>
  <si>
    <t>REINZ</t>
  </si>
  <si>
    <t>0219007</t>
  </si>
  <si>
    <t xml:space="preserve">Патрубок </t>
  </si>
  <si>
    <t>BHV679E</t>
  </si>
  <si>
    <t>245539601</t>
  </si>
  <si>
    <t>13046073202</t>
  </si>
  <si>
    <t>ДАТЧИК ДИАПАЗОНА ДИАПАЗОНА VOLVO XC90 LIGHT</t>
  </si>
  <si>
    <t>Цилиндр замка</t>
  </si>
  <si>
    <t>24012001991</t>
  </si>
  <si>
    <t>13046002362</t>
  </si>
  <si>
    <t>Ремкомплект колодок</t>
  </si>
  <si>
    <t>103940</t>
  </si>
  <si>
    <t>Кронштейн, система выпуска ог</t>
  </si>
  <si>
    <t>242039</t>
  </si>
  <si>
    <t>Ремкомплект, тормозной суппорт</t>
  </si>
  <si>
    <t>50449</t>
  </si>
  <si>
    <t>УПЛОТНИТЕЛЬ КОРПУСА МАСЛЯНОГО ФИЛЬТРА</t>
  </si>
  <si>
    <t>MCB672</t>
  </si>
  <si>
    <t>Колодки тормозные дисковые задн Beta  125 99-, KTM  125 97-, LC4 640 03, 660 03,</t>
  </si>
  <si>
    <t>ZF PARTS</t>
  </si>
  <si>
    <t>1087298364</t>
  </si>
  <si>
    <t>Комплект гидрофильтров в АКПП</t>
  </si>
  <si>
    <t>53985</t>
  </si>
  <si>
    <t>Ремкомплект тормозного суппорта заднего</t>
  </si>
  <si>
    <t>SL6211</t>
  </si>
  <si>
    <t>Шланг тормозной</t>
  </si>
  <si>
    <t>31456</t>
  </si>
  <si>
    <t>Датчик, частота вращения колеса</t>
  </si>
  <si>
    <t>K11371</t>
  </si>
  <si>
    <t>Трос стояночного тормоза</t>
  </si>
  <si>
    <t>39817</t>
  </si>
  <si>
    <t>Датчик износа тормозных колодок</t>
  </si>
  <si>
    <t>SL6005</t>
  </si>
  <si>
    <t>31171</t>
  </si>
  <si>
    <t>Датчик abs</t>
  </si>
  <si>
    <t>SL6115</t>
  </si>
  <si>
    <t>Цилиндр сцепления рабочий</t>
  </si>
  <si>
    <t>38627</t>
  </si>
  <si>
    <t>Колодки тормозные</t>
  </si>
  <si>
    <t>K11468</t>
  </si>
  <si>
    <t>Трос стояночного тормоза, правый</t>
  </si>
  <si>
    <t>Ajusa</t>
  </si>
  <si>
    <t>13032300</t>
  </si>
  <si>
    <t>Прокладка впускного коллектора</t>
  </si>
  <si>
    <t>00155600</t>
  </si>
  <si>
    <t>Прокладка выхлопной трубы</t>
  </si>
  <si>
    <t>54082900</t>
  </si>
  <si>
    <t>Прокладки картера, комплект</t>
  </si>
  <si>
    <t>10013800</t>
  </si>
  <si>
    <t>10044600</t>
  </si>
  <si>
    <t>Прокладка ГБЦ</t>
  </si>
  <si>
    <t>Akusan</t>
  </si>
  <si>
    <t>Прокладка</t>
  </si>
  <si>
    <t>Alco</t>
  </si>
  <si>
    <t>FF035</t>
  </si>
  <si>
    <t>Фильтр топливный</t>
  </si>
  <si>
    <t>MD679</t>
  </si>
  <si>
    <t>Фильтр масляный двигателя</t>
  </si>
  <si>
    <t>Alpha Filter</t>
  </si>
  <si>
    <t>AF1646S</t>
  </si>
  <si>
    <t>Э-т фильтрующий автомобильный воздушный (af-1646s)</t>
  </si>
  <si>
    <t>AS</t>
  </si>
  <si>
    <t>ARE5122</t>
  </si>
  <si>
    <t>Реле регулятора генератора</t>
  </si>
  <si>
    <t>AT Autoteile</t>
  </si>
  <si>
    <t>AT10051</t>
  </si>
  <si>
    <t>Датчик парковки</t>
  </si>
  <si>
    <t>13046056542</t>
  </si>
  <si>
    <t>Колодки тормозные дисковые, комплект</t>
  </si>
  <si>
    <t>11817100921</t>
  </si>
  <si>
    <t>Направляющая гильза. корпус скобы тормоза</t>
  </si>
  <si>
    <t>Болт</t>
  </si>
  <si>
    <t>13047072992</t>
  </si>
  <si>
    <t>Колодки тормозные дисковые, комплект "Аte Ceramic"</t>
  </si>
  <si>
    <t>24012502131</t>
  </si>
  <si>
    <t>Диск тормозной вентилируемый</t>
  </si>
  <si>
    <t>13046073162</t>
  </si>
  <si>
    <t>03990158022</t>
  </si>
  <si>
    <t>Жидкость тормозная dot 4, "Brake Fluid SL", 1л</t>
  </si>
  <si>
    <t>03990162022</t>
  </si>
  <si>
    <t>Жидкость тормозная dot 4, "Brake Fluid TYP 200", 1л</t>
  </si>
  <si>
    <t>Направляющая суппорта</t>
  </si>
  <si>
    <t>24321909093</t>
  </si>
  <si>
    <t>Цилиндр тормозной рабочий</t>
  </si>
  <si>
    <t>24514304393</t>
  </si>
  <si>
    <t>Beru</t>
  </si>
  <si>
    <t>KS600</t>
  </si>
  <si>
    <t>Кольцо</t>
  </si>
  <si>
    <t>A201</t>
  </si>
  <si>
    <t>Антенна</t>
  </si>
  <si>
    <t>7MMSBLACK</t>
  </si>
  <si>
    <t>Провод высоковольтный</t>
  </si>
  <si>
    <t>Bilstein</t>
  </si>
  <si>
    <t>36199648</t>
  </si>
  <si>
    <t>Пружина подвески задней</t>
  </si>
  <si>
    <t>Blue Print</t>
  </si>
  <si>
    <t>ADG053218</t>
  </si>
  <si>
    <t>Шланг тормозной задний левый</t>
  </si>
  <si>
    <t>ADH27055</t>
  </si>
  <si>
    <t>Датчик кислородный</t>
  </si>
  <si>
    <t>ADG042180</t>
  </si>
  <si>
    <t>Колодки тормозные дисковые передние, комплект</t>
  </si>
  <si>
    <t>ADC48129</t>
  </si>
  <si>
    <t>Пыльник приводного вала, комплект</t>
  </si>
  <si>
    <t>ADK82252</t>
  </si>
  <si>
    <t>BM Catalysts</t>
  </si>
  <si>
    <t>BM50308</t>
  </si>
  <si>
    <t>Труба выхлопного газа</t>
  </si>
  <si>
    <t>Borsehung</t>
  </si>
  <si>
    <t>B16299</t>
  </si>
  <si>
    <t>Комплект цепи ГРМ</t>
  </si>
  <si>
    <t>B17812</t>
  </si>
  <si>
    <t>Блок управления, время накаливания</t>
  </si>
  <si>
    <t>B11475</t>
  </si>
  <si>
    <t>Форсунка стеклоочистителя переднего с подогревом</t>
  </si>
  <si>
    <t>B18676</t>
  </si>
  <si>
    <t>Кожух ГРМ, верхний</t>
  </si>
  <si>
    <t>F026402203</t>
  </si>
  <si>
    <t>Дизельный топливный фильтр</t>
  </si>
  <si>
    <t>0281006247</t>
  </si>
  <si>
    <t>Расходомер воздуха</t>
  </si>
  <si>
    <t>Brembo</t>
  </si>
  <si>
    <t>S83550</t>
  </si>
  <si>
    <t>Колодки тормозные барабанные, комплект</t>
  </si>
  <si>
    <t>Caffaro</t>
  </si>
  <si>
    <t>500472</t>
  </si>
  <si>
    <t>Натяжной ролик, поликлиновойремень</t>
  </si>
  <si>
    <t>12012530</t>
  </si>
  <si>
    <t>Сальник уплотнительный</t>
  </si>
  <si>
    <t>19026747</t>
  </si>
  <si>
    <t>Сальник</t>
  </si>
  <si>
    <t>Dayco</t>
  </si>
  <si>
    <t>8153K</t>
  </si>
  <si>
    <t>Ремень вариатора</t>
  </si>
  <si>
    <t>94820</t>
  </si>
  <si>
    <t>Ремень зубчатый</t>
  </si>
  <si>
    <t>Delphi</t>
  </si>
  <si>
    <t>HDF943</t>
  </si>
  <si>
    <t>Depo</t>
  </si>
  <si>
    <t>2141507L</t>
  </si>
  <si>
    <t>DRI</t>
  </si>
  <si>
    <t>4296810</t>
  </si>
  <si>
    <t>Суппорт тормозной, правый</t>
  </si>
  <si>
    <t>EBC brakes</t>
  </si>
  <si>
    <t>FA363</t>
  </si>
  <si>
    <t>Колодки тормозные дисковые, комплект задние</t>
  </si>
  <si>
    <t>FA407</t>
  </si>
  <si>
    <t>Eps</t>
  </si>
  <si>
    <t>1890653</t>
  </si>
  <si>
    <t>Прокладка, термостат</t>
  </si>
  <si>
    <t>Esen skv</t>
  </si>
  <si>
    <t>08SKV205</t>
  </si>
  <si>
    <t>Регулятор холостого хода</t>
  </si>
  <si>
    <t>16SKV461</t>
  </si>
  <si>
    <t>Замок двери honda</t>
  </si>
  <si>
    <t>02SKV200</t>
  </si>
  <si>
    <t>Топливный насос chrysler citroen fiat ford hyundai jaguar lancia renault rover saab volvo</t>
  </si>
  <si>
    <t>16SKV339</t>
  </si>
  <si>
    <t>16SKV001</t>
  </si>
  <si>
    <t>Замок двери</t>
  </si>
  <si>
    <t>27SKV039</t>
  </si>
  <si>
    <t>Трос, ступенчатая коробка передач</t>
  </si>
  <si>
    <t>27SKV040</t>
  </si>
  <si>
    <t>12SKV065</t>
  </si>
  <si>
    <t>Патрубок дроссельной заслонки mercedes-benz</t>
  </si>
  <si>
    <t>Fa krosno</t>
  </si>
  <si>
    <t>24158</t>
  </si>
  <si>
    <t>Амортизатор газовый</t>
  </si>
  <si>
    <t>Fa1</t>
  </si>
  <si>
    <t>475505</t>
  </si>
  <si>
    <t>478507</t>
  </si>
  <si>
    <t>411520</t>
  </si>
  <si>
    <t>761993</t>
  </si>
  <si>
    <t>Прокладка выхлопной системы</t>
  </si>
  <si>
    <t>144916</t>
  </si>
  <si>
    <t>Кронштейн глушителя</t>
  </si>
  <si>
    <t>135856</t>
  </si>
  <si>
    <t>100990</t>
  </si>
  <si>
    <t>Прокладка, масляный насос</t>
  </si>
  <si>
    <t>Fae</t>
  </si>
  <si>
    <t>73011</t>
  </si>
  <si>
    <t>Стопорный механизм, система впрыска</t>
  </si>
  <si>
    <t>FAG</t>
  </si>
  <si>
    <t>771006030</t>
  </si>
  <si>
    <t>Шрус наружный</t>
  </si>
  <si>
    <t>Febest</t>
  </si>
  <si>
    <t>ASM76</t>
  </si>
  <si>
    <t>Крестовина карданного вала</t>
  </si>
  <si>
    <t>Febi</t>
  </si>
  <si>
    <t>18281</t>
  </si>
  <si>
    <t>Тяга рулевая передняя</t>
  </si>
  <si>
    <t>106746</t>
  </si>
  <si>
    <t>Осевой шарнир, рулевая тяга</t>
  </si>
  <si>
    <t>104810</t>
  </si>
  <si>
    <t>Фильтр, воздух во внутренном пространстве</t>
  </si>
  <si>
    <t>45610</t>
  </si>
  <si>
    <t>49070</t>
  </si>
  <si>
    <t>13536</t>
  </si>
  <si>
    <t>Свеча зажигания</t>
  </si>
  <si>
    <t>109619</t>
  </si>
  <si>
    <t>Кронштейн, подвеска стабилизато</t>
  </si>
  <si>
    <t>18639</t>
  </si>
  <si>
    <t>Насос водяной</t>
  </si>
  <si>
    <t>39142</t>
  </si>
  <si>
    <t>Датчик температуры охлаждающей жидкости</t>
  </si>
  <si>
    <t>Ford</t>
  </si>
  <si>
    <t>1332916</t>
  </si>
  <si>
    <t>Фонарь подсветки номерного знака</t>
  </si>
  <si>
    <t>Frenkit</t>
  </si>
  <si>
    <t>901064</t>
  </si>
  <si>
    <t>Комплектующие, колодки дискового тормоза</t>
  </si>
  <si>
    <t>Ремень зубчатый грм</t>
  </si>
  <si>
    <t>7PK2410</t>
  </si>
  <si>
    <t>Ремень поликлиновый</t>
  </si>
  <si>
    <t>T39291</t>
  </si>
  <si>
    <t>Натяжитель приводного ремня в сборе с роликом</t>
  </si>
  <si>
    <t>5680XS</t>
  </si>
  <si>
    <t>General Motors</t>
  </si>
  <si>
    <t>93182436</t>
  </si>
  <si>
    <t>Фильтр салона</t>
  </si>
  <si>
    <t>Graf</t>
  </si>
  <si>
    <t>PA575</t>
  </si>
  <si>
    <t>253001</t>
  </si>
  <si>
    <t>Вал приводной, левый</t>
  </si>
  <si>
    <t>9400240K</t>
  </si>
  <si>
    <t>260024</t>
  </si>
  <si>
    <t>Приводной вал</t>
  </si>
  <si>
    <t>514852</t>
  </si>
  <si>
    <t>Сайлентблок рычага подвески</t>
  </si>
  <si>
    <t>5DA358057121</t>
  </si>
  <si>
    <t>Катушка зажигания</t>
  </si>
  <si>
    <t>6PU012681011</t>
  </si>
  <si>
    <t>Датчик положения распредвала</t>
  </si>
  <si>
    <t>8GH002089133</t>
  </si>
  <si>
    <t>Лампа галоген" H1" 12В 55Вт</t>
  </si>
  <si>
    <t>Hutchinson</t>
  </si>
  <si>
    <t>586655</t>
  </si>
  <si>
    <t>Опора двигателя гидравлическая правая</t>
  </si>
  <si>
    <t>Ina</t>
  </si>
  <si>
    <t>553004910</t>
  </si>
  <si>
    <t>Цепь привода распредвала</t>
  </si>
  <si>
    <t>FB7PK2035</t>
  </si>
  <si>
    <t>Поликлиновой ремень</t>
  </si>
  <si>
    <t>532067410</t>
  </si>
  <si>
    <t>Паразитный / ведущий ролик, зубчатый ремень</t>
  </si>
  <si>
    <t>FB6PK1555</t>
  </si>
  <si>
    <t>Japan Parts</t>
  </si>
  <si>
    <t>BC442R</t>
  </si>
  <si>
    <t>BC2005R</t>
  </si>
  <si>
    <t>Kamoka</t>
  </si>
  <si>
    <t>JBC0428</t>
  </si>
  <si>
    <t>Суппорт тормозной</t>
  </si>
  <si>
    <t>27C14</t>
  </si>
  <si>
    <t>Щётка стеклоочистителя бескаркасная</t>
  </si>
  <si>
    <t>27F08</t>
  </si>
  <si>
    <t>6080072</t>
  </si>
  <si>
    <t>Kavo parts</t>
  </si>
  <si>
    <t>EEM9012</t>
  </si>
  <si>
    <t>Опора двигателя</t>
  </si>
  <si>
    <t>Kilen</t>
  </si>
  <si>
    <t>466074</t>
  </si>
  <si>
    <t>Пружина газовая крышки багажника</t>
  </si>
  <si>
    <t>RA3508</t>
  </si>
  <si>
    <t>Пружина подвески передней</t>
  </si>
  <si>
    <t>RA3528</t>
  </si>
  <si>
    <t>RA6240</t>
  </si>
  <si>
    <t>2956101</t>
  </si>
  <si>
    <t>Опора кпп</t>
  </si>
  <si>
    <t>3811301</t>
  </si>
  <si>
    <t>Опора шаровая, передняя правая</t>
  </si>
  <si>
    <t>Löbro</t>
  </si>
  <si>
    <t>300438</t>
  </si>
  <si>
    <t>Пыльник шруса</t>
  </si>
  <si>
    <t>Пыльник внутренний ШРУСа</t>
  </si>
  <si>
    <t>Luk</t>
  </si>
  <si>
    <t>510013410</t>
  </si>
  <si>
    <t>Подшипник выжимной гидравлический</t>
  </si>
  <si>
    <t>619311709</t>
  </si>
  <si>
    <t>Сцепление, комплект</t>
  </si>
  <si>
    <t>Magneti marelli</t>
  </si>
  <si>
    <t>7095GR</t>
  </si>
  <si>
    <t>Амортизатор передний правый</t>
  </si>
  <si>
    <t>0252401416PD</t>
  </si>
  <si>
    <t>Колодки тормозные дисковые задние, комплект "Platinum Pad"</t>
  </si>
  <si>
    <t>6140300028</t>
  </si>
  <si>
    <t>0252413716PD</t>
  </si>
  <si>
    <t>0160600065HD</t>
  </si>
  <si>
    <t>Стойка стабилизатора переднего, левая</t>
  </si>
  <si>
    <t>0160600066HD</t>
  </si>
  <si>
    <t>Стойка стабилизатора переднего, правая</t>
  </si>
  <si>
    <t>37160600032HD</t>
  </si>
  <si>
    <t>15155210004PD</t>
  </si>
  <si>
    <t>Диск тормозной передний вентилируемый</t>
  </si>
  <si>
    <t>37123190018</t>
  </si>
  <si>
    <t>0140320211</t>
  </si>
  <si>
    <t>Сайлентблоки переднего амортизатора</t>
  </si>
  <si>
    <t>0140330056</t>
  </si>
  <si>
    <t>Подшипник ступицы колеса, комплект</t>
  </si>
  <si>
    <t>7146200002</t>
  </si>
  <si>
    <t>Пыльник рулевой рейки, комплект</t>
  </si>
  <si>
    <t>0120940030</t>
  </si>
  <si>
    <t>Фильтр воздушный</t>
  </si>
  <si>
    <t>Monroe</t>
  </si>
  <si>
    <t>L12203</t>
  </si>
  <si>
    <t>Тяга рулевая</t>
  </si>
  <si>
    <t>SP4015</t>
  </si>
  <si>
    <t>Пружина подвески</t>
  </si>
  <si>
    <t>Motorad</t>
  </si>
  <si>
    <t>20875</t>
  </si>
  <si>
    <t>Термостат</t>
  </si>
  <si>
    <t>940505</t>
  </si>
  <si>
    <t>Радиатор кондиционера</t>
  </si>
  <si>
    <t>64319A</t>
  </si>
  <si>
    <t>Радиатор охлаждения двигателя</t>
  </si>
  <si>
    <t>61026</t>
  </si>
  <si>
    <t>Nrf</t>
  </si>
  <si>
    <t>Регулирующий клапан, компрессор</t>
  </si>
  <si>
    <t>50254</t>
  </si>
  <si>
    <t>Радиатор двигателя</t>
  </si>
  <si>
    <t>Муфта вентилятора радиатора</t>
  </si>
  <si>
    <t>Otto Zimmermann</t>
  </si>
  <si>
    <t>370440520</t>
  </si>
  <si>
    <t>Диск тормозной, "Coat Z"</t>
  </si>
  <si>
    <t>222721901</t>
  </si>
  <si>
    <t>290227220</t>
  </si>
  <si>
    <t>Диск тормозной вентилируемый, "Coat Z"</t>
  </si>
  <si>
    <t>100337652</t>
  </si>
  <si>
    <t>Диск тормозной вентилируемый, перфорированный</t>
  </si>
  <si>
    <t>290225720</t>
  </si>
  <si>
    <t>590283452</t>
  </si>
  <si>
    <t>610371752</t>
  </si>
  <si>
    <t>540530020</t>
  </si>
  <si>
    <t>Reinz</t>
  </si>
  <si>
    <t>813563100</t>
  </si>
  <si>
    <t>Сальник вала</t>
  </si>
  <si>
    <t>713908600</t>
  </si>
  <si>
    <t>Прокладка масляного поддона</t>
  </si>
  <si>
    <t>Rts</t>
  </si>
  <si>
    <t>9309206</t>
  </si>
  <si>
    <t>Опора шаровая, передняя нижняя</t>
  </si>
  <si>
    <t>SKF</t>
  </si>
  <si>
    <t>VKJP8273</t>
  </si>
  <si>
    <t>VKJP8359</t>
  </si>
  <si>
    <t>VKJC7637</t>
  </si>
  <si>
    <t>Вал приводной в сборе</t>
  </si>
  <si>
    <t>VKDC81118T</t>
  </si>
  <si>
    <t>Комплект опор амортизационных стоек</t>
  </si>
  <si>
    <t>VKJP01011</t>
  </si>
  <si>
    <t>KB67003</t>
  </si>
  <si>
    <t>Опора амортизатора, комплект</t>
  </si>
  <si>
    <t>TedGum</t>
  </si>
  <si>
    <t>00417552</t>
  </si>
  <si>
    <t>Втулка амортизатора</t>
  </si>
  <si>
    <t>00261281</t>
  </si>
  <si>
    <t>Подвеска, двигатель</t>
  </si>
  <si>
    <t>00748748</t>
  </si>
  <si>
    <t>Ремкомплект кулисы кпп</t>
  </si>
  <si>
    <t>00720177</t>
  </si>
  <si>
    <t>Подвеска, соединительная тяга стабилизатора</t>
  </si>
  <si>
    <t>Topran</t>
  </si>
  <si>
    <t>207905</t>
  </si>
  <si>
    <t>Комплект монтажный</t>
  </si>
  <si>
    <t>100577</t>
  </si>
  <si>
    <t>Вакуумный элемент, карбюратор</t>
  </si>
  <si>
    <t>202307</t>
  </si>
  <si>
    <t>Уплотнение, корпус термостата</t>
  </si>
  <si>
    <t>108874</t>
  </si>
  <si>
    <t>Удерживающая пружина</t>
  </si>
  <si>
    <t>206470</t>
  </si>
  <si>
    <t>Прокладка поддона коробки передач</t>
  </si>
  <si>
    <t>850069521</t>
  </si>
  <si>
    <t>Рычаг независимой подвески колеса</t>
  </si>
  <si>
    <t>850069522</t>
  </si>
  <si>
    <t>8140131325</t>
  </si>
  <si>
    <t>8140131326</t>
  </si>
  <si>
    <t>8140241151</t>
  </si>
  <si>
    <t>815040247</t>
  </si>
  <si>
    <t>815028297</t>
  </si>
  <si>
    <t>815069219</t>
  </si>
  <si>
    <t>Trucktec</t>
  </si>
  <si>
    <t>0255005</t>
  </si>
  <si>
    <t>Шип замка, крышка багажника</t>
  </si>
  <si>
    <t>1м/1ск</t>
  </si>
  <si>
    <t>0218042</t>
  </si>
  <si>
    <t>Шланг, воздухоотвод крышки головки цилиндра</t>
  </si>
  <si>
    <t>0213082</t>
  </si>
  <si>
    <t>Клапан воздушный</t>
  </si>
  <si>
    <t>MCB731SH</t>
  </si>
  <si>
    <t>Колодки тормозные дисковые, для мотоцикла</t>
  </si>
  <si>
    <t>PHD1181</t>
  </si>
  <si>
    <t>Шланг тормозной передний</t>
  </si>
  <si>
    <t>MCB648SI</t>
  </si>
  <si>
    <t>PSA264</t>
  </si>
  <si>
    <t>Усилитель вакуумный тормозов</t>
  </si>
  <si>
    <t>BHN630E</t>
  </si>
  <si>
    <t>MCB867</t>
  </si>
  <si>
    <t>MCB743RSI</t>
  </si>
  <si>
    <t>MCC4549</t>
  </si>
  <si>
    <t>Диск сцепления</t>
  </si>
  <si>
    <t>GDB1774DTE</t>
  </si>
  <si>
    <t>GDB859</t>
  </si>
  <si>
    <t>TYC</t>
  </si>
  <si>
    <t>30301201</t>
  </si>
  <si>
    <t>Стекло зеркала левого c подогревом, сферическое</t>
  </si>
  <si>
    <t>VAG</t>
  </si>
  <si>
    <t>2H6698451</t>
  </si>
  <si>
    <t>Колодки тормозные дисковые задние, комплект</t>
  </si>
  <si>
    <t>5Q0411315B</t>
  </si>
  <si>
    <t>Стойка стабилизатора переднего</t>
  </si>
  <si>
    <t>V106070</t>
  </si>
  <si>
    <t>Сайлентблок переднего рычага задний</t>
  </si>
  <si>
    <t>V101838</t>
  </si>
  <si>
    <t>Хомут глушителя</t>
  </si>
  <si>
    <t>V200990</t>
  </si>
  <si>
    <t>V300907</t>
  </si>
  <si>
    <t>Шланг системы вентиляции</t>
  </si>
  <si>
    <t>V307598</t>
  </si>
  <si>
    <t>Накладка педали</t>
  </si>
  <si>
    <t>V100275</t>
  </si>
  <si>
    <t>Фланец системы охлаждения</t>
  </si>
  <si>
    <t>V102937</t>
  </si>
  <si>
    <t>Шланг, вентиляция картера</t>
  </si>
  <si>
    <t>V200542</t>
  </si>
  <si>
    <t>Рычаг</t>
  </si>
  <si>
    <t>V203446</t>
  </si>
  <si>
    <t>Пыльник</t>
  </si>
  <si>
    <t>V100445</t>
  </si>
  <si>
    <t>Прокладка поддона картера АКПП</t>
  </si>
  <si>
    <t>V201810</t>
  </si>
  <si>
    <t>Крышка бачка стеклоомывателя</t>
  </si>
  <si>
    <t>V101252</t>
  </si>
  <si>
    <t>586014</t>
  </si>
  <si>
    <t>Фильтр масляный</t>
  </si>
  <si>
    <t>245104</t>
  </si>
  <si>
    <t>S180052050Z</t>
  </si>
  <si>
    <t>Датчик давления воздуха колеса</t>
  </si>
  <si>
    <t>V10700032</t>
  </si>
  <si>
    <t>Крышка распределителя зажигания</t>
  </si>
  <si>
    <t>V10730194</t>
  </si>
  <si>
    <t>Выключатель фар головного света</t>
  </si>
  <si>
    <t>V15803229</t>
  </si>
  <si>
    <t>Контактная группа замка зажигания</t>
  </si>
  <si>
    <t>V70720003</t>
  </si>
  <si>
    <t>Vicma</t>
  </si>
  <si>
    <t>EY124D</t>
  </si>
  <si>
    <t>Зеркало yamaha xp500 t max правое черный</t>
  </si>
  <si>
    <t>EY124I</t>
  </si>
  <si>
    <t>Зеркало yamaha xp500 t max левое черный</t>
  </si>
  <si>
    <t>Yato</t>
  </si>
  <si>
    <t>YT80466</t>
  </si>
  <si>
    <t>Сандали рабочие segura s1 размер 42</t>
  </si>
  <si>
    <t>06SKV307</t>
  </si>
  <si>
    <t>ДАТЧИК ABS</t>
  </si>
  <si>
    <t>24SKV441</t>
  </si>
  <si>
    <t>РУКАВ ВОЗДУХОЗАБОРНИКА</t>
  </si>
  <si>
    <t>Champion</t>
  </si>
  <si>
    <t>RCJ7Y</t>
  </si>
  <si>
    <t>СВЕЧА ЗАЖИГАНИЯ</t>
  </si>
  <si>
    <t>2 462,39</t>
  </si>
  <si>
    <t>2431,43</t>
  </si>
  <si>
    <t>173,56</t>
  </si>
  <si>
    <t>8 587,77</t>
  </si>
  <si>
    <t>23 321,04</t>
  </si>
  <si>
    <t>4 898,08</t>
  </si>
  <si>
    <t>A3</t>
  </si>
  <si>
    <t>C3</t>
  </si>
  <si>
    <t>I2</t>
  </si>
  <si>
    <t>EAC</t>
  </si>
  <si>
    <t>Не менять</t>
  </si>
  <si>
    <t>Добавить const</t>
  </si>
  <si>
    <t>E3</t>
  </si>
  <si>
    <t>2 603,19</t>
  </si>
  <si>
    <t>HELLOBODY</t>
  </si>
  <si>
    <t>904,22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</si>
</sst>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#,##0.00\ &quot;₽&quot;;[Red]\-#,##0.00\ &quot;₽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Arial"/>
      <family val="2"/>
      <charset val="204"/>
    </font>
    <font>
      <b/>
      <sz val="11"/>
      <color rgb="FF000000"/>
      <name val="Arial"/>
      <family val="2"/>
      <charset val="204"/>
    </font>
    <font>
      <sz val="12"/>
      <name val="Arial"/>
      <family val="2"/>
      <charset val="204"/>
    </font>
    <font>
      <sz val="11"/>
      <name val="Arial"/>
      <family val="2"/>
      <charset val="204"/>
    </font>
    <font>
      <sz val="10"/>
      <name val="Arial"/>
      <family val="2"/>
    </font>
    <font>
      <sz val="11"/>
      <color rgb="FF000000"/>
      <name val="Times New Roman"/>
      <family val="2"/>
    </font>
    <font>
      <sz val="11"/>
      <name val="Times New Roman"/>
      <family val="1"/>
      <charset val="204"/>
    </font>
    <font>
      <sz val="14"/>
      <color rgb="FF000000"/>
      <name val="Times New Roman"/>
      <family val="2"/>
    </font>
    <font>
      <sz val="14"/>
      <name val="Times New Roman"/>
      <family val="1"/>
      <charset val="204"/>
    </font>
    <font>
      <sz val="10"/>
      <color rgb="FF000000"/>
      <name val="Arial"/>
      <family val="2"/>
      <charset val="204"/>
    </font>
    <font>
      <sz val="10"/>
      <name val="Barcode"/>
    </font>
    <font>
      <sz val="8"/>
      <name val="Arial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</font>
    <font>
      <sz val="8"/>
      <color theme="1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name val="Arial Cyr"/>
      <charset val="204"/>
    </font>
    <font>
      <b/>
      <sz val="12"/>
      <name val="Arial"/>
      <family val="2"/>
      <charset val="204"/>
    </font>
    <font>
      <b/>
      <sz val="14"/>
      <name val="Arial Cyr"/>
      <charset val="204"/>
    </font>
    <font>
      <sz val="14"/>
      <name val="Arial Cyr"/>
      <charset val="204"/>
    </font>
    <font>
      <b/>
      <sz val="12"/>
      <name val="Arial Cyr"/>
      <charset val="204"/>
    </font>
    <font>
      <sz val="48"/>
      <name val="Barcode"/>
    </font>
    <font>
      <i/>
      <sz val="11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AE39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3">
    <xf numFmtId="0" fontId="0" fillId="0" borderId="0"/>
    <xf numFmtId="0" fontId="1" fillId="0" borderId="0"/>
    <xf numFmtId="0" fontId="15" fillId="0" borderId="0"/>
  </cellStyleXfs>
  <cellXfs count="69">
    <xf numFmtId="0" fontId="0" fillId="0" borderId="0" xfId="0"/>
    <xf numFmtId="0" fontId="0" fillId="2" borderId="0" xfId="0" applyFill="1"/>
    <xf numFmtId="49" fontId="2" fillId="3" borderId="1" xfId="1" applyNumberFormat="1" applyFont="1" applyFill="1" applyBorder="1" applyAlignment="1">
      <alignment horizontal="center" vertical="center"/>
    </xf>
    <xf numFmtId="2" fontId="2" fillId="3" borderId="1" xfId="1" applyNumberFormat="1" applyFont="1" applyFill="1" applyBorder="1" applyAlignment="1">
      <alignment horizontal="center" vertical="center"/>
    </xf>
    <xf numFmtId="2" fontId="5" fillId="3" borderId="1" xfId="1" applyNumberFormat="1" applyFont="1" applyFill="1" applyBorder="1" applyAlignment="1">
      <alignment horizontal="center" vertical="center"/>
    </xf>
    <xf numFmtId="49" fontId="4" fillId="3" borderId="1" xfId="1" applyNumberFormat="1" applyFont="1" applyFill="1" applyBorder="1" applyAlignment="1">
      <alignment horizontal="center" vertical="center"/>
    </xf>
    <xf numFmtId="0" fontId="3" fillId="3" borderId="1" xfId="1" applyNumberFormat="1" applyFont="1" applyFill="1" applyBorder="1" applyAlignment="1">
      <alignment horizontal="center" vertical="center"/>
    </xf>
    <xf numFmtId="14" fontId="2" fillId="3" borderId="1" xfId="1" applyNumberFormat="1" applyFont="1" applyFill="1" applyBorder="1" applyAlignment="1">
      <alignment horizontal="center" vertical="center"/>
    </xf>
    <xf numFmtId="14" fontId="0" fillId="0" borderId="0" xfId="0" applyNumberFormat="1"/>
    <xf numFmtId="1" fontId="7" fillId="0" borderId="2" xfId="0" applyNumberFormat="1" applyFont="1" applyFill="1" applyBorder="1" applyAlignment="1">
      <alignment horizontal="center" vertical="center" shrinkToFit="1"/>
    </xf>
    <xf numFmtId="1" fontId="7" fillId="0" borderId="3" xfId="0" applyNumberFormat="1" applyFont="1" applyFill="1" applyBorder="1" applyAlignment="1">
      <alignment horizontal="center" vertical="center" shrinkToFit="1"/>
    </xf>
    <xf numFmtId="0" fontId="8" fillId="0" borderId="4" xfId="0" applyFont="1" applyFill="1" applyBorder="1" applyAlignment="1">
      <alignment horizontal="center" vertical="center" wrapText="1"/>
    </xf>
    <xf numFmtId="1" fontId="6" fillId="4" borderId="1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Alignment="1">
      <alignment horizontal="center" vertical="center"/>
    </xf>
    <xf numFmtId="0" fontId="13" fillId="0" borderId="1" xfId="0" quotePrefix="1" applyFont="1" applyFill="1" applyBorder="1" applyAlignment="1">
      <alignment horizontal="center" vertical="center"/>
    </xf>
    <xf numFmtId="49" fontId="13" fillId="0" borderId="1" xfId="0" applyNumberFormat="1" applyFont="1" applyFill="1" applyBorder="1" applyAlignment="1">
      <alignment vertical="center"/>
    </xf>
    <xf numFmtId="0" fontId="13" fillId="0" borderId="1" xfId="0" quotePrefix="1" applyFont="1" applyFill="1" applyBorder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2" fontId="13" fillId="0" borderId="1" xfId="0" applyNumberFormat="1" applyFont="1" applyFill="1" applyBorder="1" applyAlignment="1">
      <alignment vertical="center"/>
    </xf>
    <xf numFmtId="0" fontId="16" fillId="0" borderId="1" xfId="2" applyFont="1" applyFill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left" vertical="center"/>
    </xf>
    <xf numFmtId="49" fontId="6" fillId="0" borderId="1" xfId="0" applyNumberFormat="1" applyFont="1" applyFill="1" applyBorder="1" applyAlignment="1">
      <alignment vertical="center"/>
    </xf>
    <xf numFmtId="1" fontId="6" fillId="0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right" vertical="center"/>
    </xf>
    <xf numFmtId="1" fontId="9" fillId="0" borderId="2" xfId="0" applyNumberFormat="1" applyFont="1" applyFill="1" applyBorder="1" applyAlignment="1">
      <alignment horizontal="center" vertical="center" shrinkToFit="1"/>
    </xf>
    <xf numFmtId="1" fontId="9" fillId="0" borderId="3" xfId="0" applyNumberFormat="1" applyFont="1" applyFill="1" applyBorder="1" applyAlignment="1">
      <alignment horizontal="center" vertical="center" shrinkToFit="1"/>
    </xf>
    <xf numFmtId="0" fontId="10" fillId="0" borderId="4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9" fontId="12" fillId="0" borderId="0" xfId="0" applyNumberFormat="1" applyFont="1" applyFill="1" applyAlignment="1">
      <alignment horizontal="center" vertical="center"/>
    </xf>
    <xf numFmtId="0" fontId="0" fillId="0" borderId="1" xfId="0" applyFill="1" applyBorder="1" applyAlignment="1">
      <alignment vertical="center"/>
    </xf>
    <xf numFmtId="49" fontId="0" fillId="0" borderId="1" xfId="0" applyNumberFormat="1" applyFill="1" applyBorder="1" applyAlignment="1">
      <alignment vertical="center"/>
    </xf>
    <xf numFmtId="49" fontId="0" fillId="0" borderId="1" xfId="0" applyNumberFormat="1" applyFill="1" applyBorder="1" applyAlignment="1">
      <alignment horizontal="left" vertical="center"/>
    </xf>
    <xf numFmtId="49" fontId="14" fillId="0" borderId="1" xfId="0" applyNumberFormat="1" applyFont="1" applyFill="1" applyBorder="1" applyAlignment="1">
      <alignment horizontal="left" vertical="center"/>
    </xf>
    <xf numFmtId="0" fontId="14" fillId="0" borderId="1" xfId="0" applyNumberFormat="1" applyFont="1" applyFill="1" applyBorder="1" applyAlignment="1">
      <alignment horizontal="left" vertical="center"/>
    </xf>
    <xf numFmtId="4" fontId="0" fillId="0" borderId="1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vertical="center" wrapText="1"/>
    </xf>
    <xf numFmtId="2" fontId="0" fillId="0" borderId="1" xfId="0" applyNumberFormat="1" applyFill="1" applyBorder="1" applyAlignment="1">
      <alignment horizontal="right" vertical="center"/>
    </xf>
    <xf numFmtId="0" fontId="16" fillId="0" borderId="1" xfId="2" applyFont="1" applyFill="1" applyBorder="1" applyAlignment="1">
      <alignment vertical="center"/>
    </xf>
    <xf numFmtId="49" fontId="16" fillId="0" borderId="1" xfId="2" applyNumberFormat="1" applyFont="1" applyFill="1" applyBorder="1" applyAlignment="1">
      <alignment vertical="center"/>
    </xf>
    <xf numFmtId="8" fontId="0" fillId="0" borderId="1" xfId="0" applyNumberFormat="1" applyFill="1" applyBorder="1" applyAlignment="1">
      <alignment vertical="center"/>
    </xf>
    <xf numFmtId="14" fontId="16" fillId="0" borderId="1" xfId="2" applyNumberFormat="1" applyFont="1" applyFill="1" applyBorder="1" applyAlignment="1">
      <alignment horizontal="center" vertical="center"/>
    </xf>
    <xf numFmtId="2" fontId="0" fillId="0" borderId="1" xfId="0" applyNumberFormat="1" applyFill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8" fillId="0" borderId="0" xfId="0" applyFont="1"/>
    <xf numFmtId="49" fontId="2" fillId="3" borderId="0" xfId="1" applyNumberFormat="1" applyFont="1" applyFill="1" applyBorder="1" applyAlignment="1">
      <alignment horizontal="left" vertical="center"/>
    </xf>
    <xf numFmtId="49" fontId="2" fillId="3" borderId="0" xfId="1" applyNumberFormat="1" applyFont="1" applyFill="1" applyBorder="1" applyAlignment="1">
      <alignment horizontal="center" vertical="center"/>
    </xf>
    <xf numFmtId="2" fontId="2" fillId="3" borderId="0" xfId="1" applyNumberFormat="1" applyFont="1" applyFill="1" applyBorder="1" applyAlignment="1">
      <alignment horizontal="right" vertical="center"/>
    </xf>
    <xf numFmtId="49" fontId="19" fillId="3" borderId="0" xfId="1" applyNumberFormat="1" applyFont="1" applyFill="1" applyBorder="1" applyAlignment="1">
      <alignment horizontal="center" vertical="center"/>
    </xf>
    <xf numFmtId="0" fontId="3" fillId="3" borderId="0" xfId="1" applyNumberFormat="1" applyFont="1" applyFill="1" applyBorder="1" applyAlignment="1">
      <alignment horizontal="right" vertical="center"/>
    </xf>
    <xf numFmtId="49" fontId="2" fillId="3" borderId="0" xfId="1" applyNumberFormat="1" applyFont="1" applyFill="1" applyBorder="1" applyAlignment="1">
      <alignment horizontal="right" vertical="center"/>
    </xf>
    <xf numFmtId="14" fontId="2" fillId="3" borderId="0" xfId="1" applyNumberFormat="1" applyFont="1" applyFill="1" applyBorder="1" applyAlignment="1">
      <alignment horizontal="right" vertical="center"/>
    </xf>
    <xf numFmtId="49" fontId="18" fillId="0" borderId="0" xfId="0" applyNumberFormat="1" applyFont="1" applyAlignment="1">
      <alignment wrapText="1"/>
    </xf>
    <xf numFmtId="0" fontId="0" fillId="5" borderId="0" xfId="0" applyFill="1"/>
    <xf numFmtId="0" fontId="18" fillId="0" borderId="0" xfId="0" applyFont="1" applyAlignment="1">
      <alignment horizontal="center"/>
    </xf>
    <xf numFmtId="0" fontId="0" fillId="6" borderId="0" xfId="0" applyFill="1"/>
    <xf numFmtId="0" fontId="23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shrinkToFit="1"/>
    </xf>
    <xf numFmtId="49" fontId="2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8" fillId="7" borderId="0" xfId="0" applyFont="1" applyFill="1" applyAlignment="1">
      <alignment horizontal="center"/>
    </xf>
  </cellXfs>
  <cellStyles count="3">
    <cellStyle name="Normal" xfId="2"/>
    <cellStyle name="Обычный" xfId="0" builtinId="0"/>
    <cellStyle name="Обычный 6" xfId="1"/>
  </cellStyles>
  <dxfs count="0"/>
  <tableStyles count="0" defaultTableStyle="TableStyleMedium2" defaultPivotStyle="PivotStyleMedium9"/>
  <colors>
    <mruColors>
      <color rgb="FFFAE390"/>
      <color rgb="FFF9C0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47625</xdr:colOff>
      <xdr:row>1</xdr:row>
      <xdr:rowOff>142875</xdr:rowOff>
    </xdr:from>
    <xdr:ext cx="6067943" cy="843693"/>
    <xdr:sp macro="" textlink="">
      <xdr:nvSpPr>
        <xdr:cNvPr id="2" name="TextBox 1"/>
        <xdr:cNvSpPr txBox="1"/>
      </xdr:nvSpPr>
      <xdr:spPr>
        <a:xfrm>
          <a:off x="657225" y="333375"/>
          <a:ext cx="6067943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400" i="1">
              <a:solidFill>
                <a:srgbClr val="C00000"/>
              </a:solidFill>
              <a:latin typeface="+mn-lt"/>
            </a:rPr>
            <a:t>Программа</a:t>
          </a:r>
          <a:r>
            <a:rPr lang="ru-RU" sz="2400" i="1" baseline="0">
              <a:solidFill>
                <a:srgbClr val="C00000"/>
              </a:solidFill>
              <a:latin typeface="+mn-lt"/>
            </a:rPr>
            <a:t> для ведения учетности товара</a:t>
          </a:r>
          <a:br>
            <a:rPr lang="ru-RU" sz="2400" i="1" baseline="0">
              <a:solidFill>
                <a:srgbClr val="C00000"/>
              </a:solidFill>
              <a:latin typeface="+mn-lt"/>
            </a:rPr>
          </a:br>
          <a:r>
            <a:rPr lang="ru-RU" sz="2400" b="0" i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«АвтоГига»</a:t>
          </a:r>
          <a:endParaRPr lang="ru-RU" sz="2400" i="1">
            <a:solidFill>
              <a:srgbClr val="C00000"/>
            </a:solidFill>
            <a:latin typeface="+mn-lt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5</xdr:row>
          <xdr:rowOff>38100</xdr:rowOff>
        </xdr:from>
        <xdr:to>
          <xdr:col>11</xdr:col>
          <xdr:colOff>57150</xdr:colOff>
          <xdr:row>7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работу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"/>
  <sheetViews>
    <sheetView tabSelected="1" workbookViewId="0">
      <selection activeCell="M10" sqref="M10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OpenWorkSpaceForm">
                <anchor moveWithCells="1" sizeWithCells="1">
                  <from>
                    <xdr:col>4</xdr:col>
                    <xdr:colOff>352425</xdr:colOff>
                    <xdr:row>5</xdr:row>
                    <xdr:rowOff>38100</xdr:rowOff>
                  </from>
                  <to>
                    <xdr:col>11</xdr:col>
                    <xdr:colOff>57150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474"/>
  <sheetViews>
    <sheetView topLeftCell="A3" zoomScale="85" zoomScaleNormal="85" workbookViewId="0">
      <selection activeCell="H9" sqref="H9"/>
    </sheetView>
  </sheetViews>
  <sheetFormatPr defaultRowHeight="15" x14ac:dyDescent="0.25"/>
  <cols>
    <col min="1" max="2" width="15.28515625" customWidth="1"/>
    <col min="3" max="3" width="57.85546875" customWidth="1"/>
    <col min="4" max="12" width="15.28515625" customWidth="1"/>
    <col min="13" max="13" width="15.28515625" style="8" customWidth="1"/>
  </cols>
  <sheetData>
    <row r="1" spans="1:13" x14ac:dyDescent="0.2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2" t="s">
        <v>6</v>
      </c>
      <c r="H1" s="5" t="s">
        <v>7</v>
      </c>
      <c r="I1" s="2" t="s">
        <v>8</v>
      </c>
      <c r="J1" s="6" t="s">
        <v>9</v>
      </c>
      <c r="K1" s="2" t="s">
        <v>10</v>
      </c>
      <c r="L1" s="2" t="s">
        <v>11</v>
      </c>
      <c r="M1" s="7" t="s">
        <v>12</v>
      </c>
    </row>
    <row r="2" spans="1:13" x14ac:dyDescent="0.25">
      <c r="A2" s="20" t="s">
        <v>15</v>
      </c>
      <c r="B2" s="21" t="s">
        <v>27</v>
      </c>
      <c r="C2" s="20" t="s">
        <v>28</v>
      </c>
      <c r="D2" s="22">
        <v>2</v>
      </c>
      <c r="E2" s="23">
        <v>1288.8499999999999</v>
      </c>
      <c r="F2" s="23">
        <v>1288.8499999999999</v>
      </c>
      <c r="G2" s="24" t="s">
        <v>18</v>
      </c>
      <c r="H2" s="25">
        <v>8</v>
      </c>
      <c r="I2" s="9"/>
      <c r="J2" s="10"/>
      <c r="K2" s="9"/>
      <c r="L2" s="11"/>
      <c r="M2"/>
    </row>
    <row r="3" spans="1:13" x14ac:dyDescent="0.25">
      <c r="A3" s="20" t="s">
        <v>15</v>
      </c>
      <c r="B3" s="21" t="s">
        <v>29</v>
      </c>
      <c r="C3" s="20" t="s">
        <v>30</v>
      </c>
      <c r="D3" s="12">
        <v>0</v>
      </c>
      <c r="E3" s="26">
        <v>904.22</v>
      </c>
      <c r="F3" s="23">
        <v>1808.44</v>
      </c>
      <c r="G3" s="24" t="s">
        <v>18</v>
      </c>
      <c r="H3" s="25">
        <v>8</v>
      </c>
      <c r="I3" s="9"/>
      <c r="J3" s="10"/>
      <c r="K3" s="9"/>
      <c r="L3" s="11"/>
      <c r="M3"/>
    </row>
    <row r="4" spans="1:13" x14ac:dyDescent="0.25">
      <c r="A4" s="20" t="s">
        <v>15</v>
      </c>
      <c r="B4" s="21" t="s">
        <v>31</v>
      </c>
      <c r="C4" s="20" t="s">
        <v>32</v>
      </c>
      <c r="D4" s="12">
        <v>0</v>
      </c>
      <c r="E4" s="23">
        <v>2489.0100000000002</v>
      </c>
      <c r="F4" s="23">
        <v>2489.0100000000002</v>
      </c>
      <c r="G4" s="24" t="s">
        <v>18</v>
      </c>
      <c r="H4" s="25">
        <v>8</v>
      </c>
      <c r="I4" s="9"/>
      <c r="J4" s="10"/>
      <c r="K4" s="9"/>
      <c r="L4" s="11"/>
      <c r="M4"/>
    </row>
    <row r="5" spans="1:13" x14ac:dyDescent="0.25">
      <c r="A5" s="20" t="s">
        <v>15</v>
      </c>
      <c r="B5" s="21" t="s">
        <v>33</v>
      </c>
      <c r="C5" s="20" t="s">
        <v>34</v>
      </c>
      <c r="D5" s="12">
        <v>0</v>
      </c>
      <c r="E5" s="23">
        <v>2462.39</v>
      </c>
      <c r="F5" s="23">
        <v>2462.39</v>
      </c>
      <c r="G5" s="24" t="s">
        <v>18</v>
      </c>
      <c r="H5" s="25">
        <v>8</v>
      </c>
      <c r="I5" s="9"/>
      <c r="J5" s="10"/>
      <c r="K5" s="9"/>
      <c r="L5" s="11"/>
      <c r="M5"/>
    </row>
    <row r="6" spans="1:13" x14ac:dyDescent="0.25">
      <c r="A6" s="20" t="s">
        <v>15</v>
      </c>
      <c r="B6" s="21" t="s">
        <v>33</v>
      </c>
      <c r="C6" s="20" t="s">
        <v>34</v>
      </c>
      <c r="D6" s="12">
        <v>0</v>
      </c>
      <c r="E6" s="23">
        <v>2462.39</v>
      </c>
      <c r="F6" s="23">
        <v>2462.39</v>
      </c>
      <c r="G6" s="24" t="s">
        <v>18</v>
      </c>
      <c r="H6" s="25">
        <v>5</v>
      </c>
      <c r="I6" s="9"/>
      <c r="J6" s="10"/>
      <c r="K6" s="9"/>
      <c r="L6" s="11"/>
      <c r="M6"/>
    </row>
    <row r="7" spans="1:13" x14ac:dyDescent="0.25">
      <c r="A7" s="20" t="s">
        <v>35</v>
      </c>
      <c r="B7" s="21" t="s">
        <v>36</v>
      </c>
      <c r="C7" s="20" t="s">
        <v>37</v>
      </c>
      <c r="D7" s="12">
        <v>0</v>
      </c>
      <c r="E7" s="23">
        <v>2603.19</v>
      </c>
      <c r="F7" s="23">
        <v>5206.38</v>
      </c>
      <c r="G7" s="24" t="s">
        <v>38</v>
      </c>
      <c r="H7" s="25">
        <v>8</v>
      </c>
      <c r="I7" s="9"/>
      <c r="J7" s="10"/>
      <c r="K7" s="9"/>
      <c r="L7" s="11" t="s">
        <v>949</v>
      </c>
      <c r="M7"/>
    </row>
    <row r="8" spans="1:13" x14ac:dyDescent="0.25">
      <c r="A8" s="20" t="s">
        <v>35</v>
      </c>
      <c r="B8" s="21" t="s">
        <v>36</v>
      </c>
      <c r="C8" s="20" t="s">
        <v>37</v>
      </c>
      <c r="D8" s="12">
        <v>0</v>
      </c>
      <c r="E8" s="23">
        <v>2603.19</v>
      </c>
      <c r="F8" s="23">
        <v>5206.38</v>
      </c>
      <c r="G8" s="24" t="s">
        <v>38</v>
      </c>
      <c r="H8" s="25">
        <v>7</v>
      </c>
      <c r="I8" s="9"/>
      <c r="J8" s="10"/>
      <c r="K8" s="9"/>
      <c r="L8" s="11" t="s">
        <v>949</v>
      </c>
      <c r="M8"/>
    </row>
    <row r="9" spans="1:13" x14ac:dyDescent="0.25">
      <c r="A9" s="20" t="s">
        <v>39</v>
      </c>
      <c r="B9" s="21" t="s">
        <v>40</v>
      </c>
      <c r="C9" s="20" t="s">
        <v>41</v>
      </c>
      <c r="D9" s="22">
        <v>2</v>
      </c>
      <c r="E9" s="26">
        <v>698.39</v>
      </c>
      <c r="F9" s="26">
        <v>698.39</v>
      </c>
      <c r="G9" s="24" t="s">
        <v>18</v>
      </c>
      <c r="H9" s="25">
        <v>8</v>
      </c>
      <c r="I9" s="9"/>
      <c r="J9" s="10"/>
      <c r="K9" s="9"/>
      <c r="L9" s="11"/>
      <c r="M9"/>
    </row>
    <row r="10" spans="1:13" ht="18.75" x14ac:dyDescent="0.25">
      <c r="A10" s="20" t="s">
        <v>42</v>
      </c>
      <c r="B10" s="21" t="s">
        <v>43</v>
      </c>
      <c r="C10" s="20" t="s">
        <v>44</v>
      </c>
      <c r="D10" s="22">
        <v>2</v>
      </c>
      <c r="E10" s="26">
        <v>32.01</v>
      </c>
      <c r="F10" s="26">
        <v>128.04</v>
      </c>
      <c r="G10" s="24" t="s">
        <v>18</v>
      </c>
      <c r="H10" s="25">
        <v>8</v>
      </c>
      <c r="I10" s="27"/>
      <c r="J10" s="28"/>
      <c r="K10" s="27"/>
      <c r="L10" s="29"/>
      <c r="M10"/>
    </row>
    <row r="11" spans="1:13" ht="18.75" x14ac:dyDescent="0.25">
      <c r="A11" s="20" t="s">
        <v>42</v>
      </c>
      <c r="B11" s="21" t="s">
        <v>45</v>
      </c>
      <c r="C11" s="20" t="s">
        <v>46</v>
      </c>
      <c r="D11" s="22">
        <v>2</v>
      </c>
      <c r="E11" s="26">
        <v>459.66</v>
      </c>
      <c r="F11" s="23">
        <v>1838.64</v>
      </c>
      <c r="G11" s="24" t="s">
        <v>18</v>
      </c>
      <c r="H11" s="25">
        <v>8</v>
      </c>
      <c r="I11" s="27"/>
      <c r="J11" s="28"/>
      <c r="K11" s="27"/>
      <c r="L11" s="29"/>
      <c r="M11"/>
    </row>
    <row r="12" spans="1:13" ht="18.75" x14ac:dyDescent="0.25">
      <c r="A12" s="20" t="s">
        <v>47</v>
      </c>
      <c r="B12" s="21" t="s">
        <v>48</v>
      </c>
      <c r="C12" s="20" t="s">
        <v>49</v>
      </c>
      <c r="D12" s="22">
        <v>2</v>
      </c>
      <c r="E12" s="23">
        <v>16920.400000000001</v>
      </c>
      <c r="F12" s="23">
        <v>16920.400000000001</v>
      </c>
      <c r="G12" s="24" t="s">
        <v>50</v>
      </c>
      <c r="H12" s="25">
        <v>8</v>
      </c>
      <c r="I12" s="27"/>
      <c r="J12" s="28"/>
      <c r="K12" s="27"/>
      <c r="L12" s="29"/>
      <c r="M12"/>
    </row>
    <row r="13" spans="1:13" ht="18.75" x14ac:dyDescent="0.25">
      <c r="A13" s="20" t="s">
        <v>51</v>
      </c>
      <c r="B13" s="21" t="s">
        <v>52</v>
      </c>
      <c r="C13" s="20" t="s">
        <v>53</v>
      </c>
      <c r="D13" s="22">
        <v>2</v>
      </c>
      <c r="E13" s="23">
        <v>1036.4100000000001</v>
      </c>
      <c r="F13" s="23">
        <v>1036.4100000000001</v>
      </c>
      <c r="G13" s="24" t="s">
        <v>18</v>
      </c>
      <c r="H13" s="25">
        <v>8</v>
      </c>
      <c r="I13" s="27"/>
      <c r="J13" s="28"/>
      <c r="K13" s="27"/>
      <c r="L13" s="29"/>
      <c r="M13"/>
    </row>
    <row r="14" spans="1:13" x14ac:dyDescent="0.25">
      <c r="A14" s="20" t="s">
        <v>51</v>
      </c>
      <c r="B14" s="21" t="s">
        <v>52</v>
      </c>
      <c r="C14" s="20" t="s">
        <v>53</v>
      </c>
      <c r="D14" s="22">
        <v>2</v>
      </c>
      <c r="E14" s="23">
        <v>1037.6199999999999</v>
      </c>
      <c r="F14" s="23">
        <v>1037.6199999999999</v>
      </c>
      <c r="G14" s="24" t="s">
        <v>18</v>
      </c>
      <c r="H14" s="25">
        <v>8</v>
      </c>
      <c r="I14" s="30"/>
      <c r="J14" s="31"/>
      <c r="K14" s="30"/>
      <c r="L14" s="30"/>
      <c r="M14"/>
    </row>
    <row r="15" spans="1:13" x14ac:dyDescent="0.25">
      <c r="A15" s="20" t="s">
        <v>54</v>
      </c>
      <c r="B15" s="21" t="s">
        <v>55</v>
      </c>
      <c r="C15" s="20" t="s">
        <v>53</v>
      </c>
      <c r="D15" s="22">
        <v>2</v>
      </c>
      <c r="E15" s="23">
        <v>1013.52</v>
      </c>
      <c r="F15" s="23">
        <v>1013.52</v>
      </c>
      <c r="G15" s="24" t="s">
        <v>18</v>
      </c>
      <c r="H15" s="25">
        <v>8</v>
      </c>
      <c r="I15" s="30"/>
      <c r="J15" s="31"/>
      <c r="K15" s="30"/>
      <c r="L15" s="30"/>
      <c r="M15"/>
    </row>
    <row r="16" spans="1:13" x14ac:dyDescent="0.25">
      <c r="A16" s="20" t="s">
        <v>56</v>
      </c>
      <c r="B16" s="21" t="s">
        <v>57</v>
      </c>
      <c r="C16" s="20" t="s">
        <v>58</v>
      </c>
      <c r="D16" s="22">
        <v>1</v>
      </c>
      <c r="E16" s="23">
        <v>23321.040000000001</v>
      </c>
      <c r="F16" s="23">
        <v>23321.040000000001</v>
      </c>
      <c r="G16" s="25" t="s">
        <v>18</v>
      </c>
      <c r="H16" s="25">
        <v>8</v>
      </c>
      <c r="I16" s="30"/>
      <c r="J16" s="31"/>
      <c r="K16" s="30"/>
      <c r="L16" s="30"/>
      <c r="M16"/>
    </row>
    <row r="17" spans="1:13" x14ac:dyDescent="0.25">
      <c r="A17" s="20" t="s">
        <v>56</v>
      </c>
      <c r="B17" s="21" t="s">
        <v>59</v>
      </c>
      <c r="C17" s="20" t="s">
        <v>60</v>
      </c>
      <c r="D17" s="22">
        <v>2</v>
      </c>
      <c r="E17" s="23">
        <v>7595.25</v>
      </c>
      <c r="F17" s="23">
        <v>7595.25</v>
      </c>
      <c r="G17" s="24" t="s">
        <v>18</v>
      </c>
      <c r="H17" s="25">
        <v>8</v>
      </c>
      <c r="I17" s="30"/>
      <c r="J17" s="31"/>
      <c r="K17" s="30"/>
      <c r="L17" s="30"/>
      <c r="M17"/>
    </row>
    <row r="18" spans="1:13" x14ac:dyDescent="0.25">
      <c r="A18" s="20" t="s">
        <v>56</v>
      </c>
      <c r="B18" s="21" t="s">
        <v>61</v>
      </c>
      <c r="C18" s="20" t="s">
        <v>62</v>
      </c>
      <c r="D18" s="22">
        <v>2</v>
      </c>
      <c r="E18" s="23">
        <v>28530.75</v>
      </c>
      <c r="F18" s="23">
        <v>28530.75</v>
      </c>
      <c r="G18" s="24" t="s">
        <v>18</v>
      </c>
      <c r="H18" s="25">
        <v>8</v>
      </c>
      <c r="I18" s="30"/>
      <c r="J18" s="31"/>
      <c r="K18" s="30"/>
      <c r="L18" s="30"/>
      <c r="M18"/>
    </row>
    <row r="19" spans="1:13" x14ac:dyDescent="0.25">
      <c r="A19" s="20" t="s">
        <v>63</v>
      </c>
      <c r="B19" s="21" t="s">
        <v>64</v>
      </c>
      <c r="C19" s="20" t="s">
        <v>65</v>
      </c>
      <c r="D19" s="22">
        <v>2</v>
      </c>
      <c r="E19" s="26">
        <v>16.3</v>
      </c>
      <c r="F19" s="26">
        <v>326</v>
      </c>
      <c r="G19" s="25" t="s">
        <v>50</v>
      </c>
      <c r="H19" s="25">
        <v>8</v>
      </c>
      <c r="I19" s="30"/>
      <c r="J19" s="31"/>
      <c r="K19" s="30"/>
      <c r="L19" s="30"/>
      <c r="M19"/>
    </row>
    <row r="20" spans="1:13" x14ac:dyDescent="0.25">
      <c r="A20" s="20" t="s">
        <v>63</v>
      </c>
      <c r="B20" s="21" t="s">
        <v>66</v>
      </c>
      <c r="C20" s="20" t="s">
        <v>67</v>
      </c>
      <c r="D20" s="22">
        <v>2</v>
      </c>
      <c r="E20" s="26">
        <v>34.47</v>
      </c>
      <c r="F20" s="26">
        <v>172.35</v>
      </c>
      <c r="G20" s="24" t="s">
        <v>18</v>
      </c>
      <c r="H20" s="25">
        <v>8</v>
      </c>
      <c r="I20" s="30"/>
      <c r="J20" s="31"/>
      <c r="K20" s="30"/>
      <c r="L20" s="30"/>
      <c r="M20"/>
    </row>
    <row r="21" spans="1:13" x14ac:dyDescent="0.25">
      <c r="A21" s="20" t="s">
        <v>63</v>
      </c>
      <c r="B21" s="21" t="s">
        <v>68</v>
      </c>
      <c r="C21" s="20" t="s">
        <v>69</v>
      </c>
      <c r="D21" s="22">
        <v>2</v>
      </c>
      <c r="E21" s="26">
        <v>178.43</v>
      </c>
      <c r="F21" s="26">
        <v>178.43</v>
      </c>
      <c r="G21" s="24" t="s">
        <v>50</v>
      </c>
      <c r="H21" s="25">
        <v>8</v>
      </c>
      <c r="I21" s="30"/>
      <c r="J21" s="31"/>
      <c r="K21" s="30"/>
      <c r="L21" s="30"/>
      <c r="M21"/>
    </row>
    <row r="22" spans="1:13" x14ac:dyDescent="0.25">
      <c r="A22" s="20" t="s">
        <v>63</v>
      </c>
      <c r="B22" s="21" t="s">
        <v>70</v>
      </c>
      <c r="C22" s="20" t="s">
        <v>71</v>
      </c>
      <c r="D22" s="12">
        <v>0</v>
      </c>
      <c r="E22" s="26">
        <v>173.56</v>
      </c>
      <c r="F22" s="26">
        <v>173.56</v>
      </c>
      <c r="G22" s="24" t="s">
        <v>50</v>
      </c>
      <c r="H22" s="25">
        <v>8</v>
      </c>
      <c r="I22" s="30"/>
      <c r="J22" s="31"/>
      <c r="K22" s="30"/>
      <c r="L22" s="30"/>
      <c r="M22"/>
    </row>
    <row r="23" spans="1:13" x14ac:dyDescent="0.25">
      <c r="A23" s="20" t="s">
        <v>63</v>
      </c>
      <c r="B23" s="21" t="s">
        <v>72</v>
      </c>
      <c r="C23" s="20" t="s">
        <v>73</v>
      </c>
      <c r="D23" s="22">
        <v>2</v>
      </c>
      <c r="E23" s="26">
        <v>718.26</v>
      </c>
      <c r="F23" s="26">
        <v>718.26</v>
      </c>
      <c r="G23" s="24" t="s">
        <v>50</v>
      </c>
      <c r="H23" s="25">
        <v>8</v>
      </c>
      <c r="I23" s="30"/>
      <c r="J23" s="13"/>
      <c r="K23" s="30"/>
      <c r="L23" s="30"/>
      <c r="M23"/>
    </row>
    <row r="24" spans="1:13" x14ac:dyDescent="0.25">
      <c r="A24" s="20" t="s">
        <v>63</v>
      </c>
      <c r="B24" s="21" t="s">
        <v>74</v>
      </c>
      <c r="C24" s="20" t="s">
        <v>73</v>
      </c>
      <c r="D24" s="22">
        <v>2</v>
      </c>
      <c r="E24" s="26">
        <v>143.01</v>
      </c>
      <c r="F24" s="26">
        <v>143.01</v>
      </c>
      <c r="G24" s="24" t="s">
        <v>50</v>
      </c>
      <c r="H24" s="25">
        <v>8</v>
      </c>
      <c r="I24" s="30"/>
      <c r="J24" s="13"/>
      <c r="K24" s="30"/>
      <c r="L24" s="30"/>
      <c r="M24"/>
    </row>
    <row r="25" spans="1:13" x14ac:dyDescent="0.25">
      <c r="A25" s="20" t="s">
        <v>63</v>
      </c>
      <c r="B25" s="21" t="s">
        <v>64</v>
      </c>
      <c r="C25" s="20" t="s">
        <v>65</v>
      </c>
      <c r="D25" s="22">
        <v>2</v>
      </c>
      <c r="E25" s="26">
        <v>16.3</v>
      </c>
      <c r="F25" s="26">
        <v>326</v>
      </c>
      <c r="G25" s="25" t="s">
        <v>50</v>
      </c>
      <c r="H25" s="25">
        <v>8</v>
      </c>
      <c r="I25" s="30"/>
      <c r="J25" s="13"/>
      <c r="K25" s="30"/>
      <c r="L25" s="30"/>
      <c r="M25"/>
    </row>
    <row r="26" spans="1:13" x14ac:dyDescent="0.25">
      <c r="A26" s="20" t="s">
        <v>75</v>
      </c>
      <c r="B26" s="21" t="s">
        <v>76</v>
      </c>
      <c r="C26" s="20" t="s">
        <v>77</v>
      </c>
      <c r="D26" s="12">
        <v>0</v>
      </c>
      <c r="E26" s="23">
        <v>4898.08</v>
      </c>
      <c r="F26" s="23">
        <v>4898.08</v>
      </c>
      <c r="G26" s="24" t="s">
        <v>18</v>
      </c>
      <c r="H26" s="25">
        <v>8</v>
      </c>
      <c r="I26" s="30"/>
      <c r="J26" s="13"/>
      <c r="K26" s="30"/>
      <c r="L26" s="30"/>
      <c r="M26"/>
    </row>
    <row r="27" spans="1:13" x14ac:dyDescent="0.25">
      <c r="A27" s="20" t="s">
        <v>22</v>
      </c>
      <c r="B27" s="21" t="s">
        <v>78</v>
      </c>
      <c r="C27" s="20" t="s">
        <v>79</v>
      </c>
      <c r="D27" s="22">
        <v>2</v>
      </c>
      <c r="E27" s="26">
        <v>765.82</v>
      </c>
      <c r="F27" s="23">
        <v>1531.64</v>
      </c>
      <c r="G27" s="25" t="s">
        <v>18</v>
      </c>
      <c r="H27" s="25">
        <v>8</v>
      </c>
      <c r="I27" s="30"/>
      <c r="J27" s="13"/>
      <c r="K27" s="30"/>
      <c r="L27" s="30"/>
      <c r="M27"/>
    </row>
    <row r="28" spans="1:13" x14ac:dyDescent="0.25">
      <c r="A28" s="20" t="s">
        <v>22</v>
      </c>
      <c r="B28" s="21" t="s">
        <v>80</v>
      </c>
      <c r="C28" s="20" t="s">
        <v>81</v>
      </c>
      <c r="D28" s="22">
        <v>2</v>
      </c>
      <c r="E28" s="26">
        <v>958.8</v>
      </c>
      <c r="F28" s="26">
        <v>958.8</v>
      </c>
      <c r="G28" s="24" t="s">
        <v>18</v>
      </c>
      <c r="H28" s="25">
        <v>8</v>
      </c>
      <c r="I28" s="30"/>
      <c r="J28" s="13"/>
      <c r="K28" s="30"/>
      <c r="L28" s="30"/>
      <c r="M28"/>
    </row>
    <row r="29" spans="1:13" x14ac:dyDescent="0.25">
      <c r="A29" s="20" t="s">
        <v>23</v>
      </c>
      <c r="B29" s="21" t="s">
        <v>24</v>
      </c>
      <c r="C29" s="20" t="s">
        <v>25</v>
      </c>
      <c r="D29" s="22">
        <v>2</v>
      </c>
      <c r="E29" s="26">
        <v>766.4</v>
      </c>
      <c r="F29" s="23">
        <v>2299.1999999999998</v>
      </c>
      <c r="G29" s="24" t="s">
        <v>18</v>
      </c>
      <c r="H29" s="25">
        <v>8</v>
      </c>
      <c r="I29" s="30"/>
      <c r="J29" s="13"/>
      <c r="K29" s="30"/>
      <c r="L29" s="30"/>
      <c r="M29"/>
    </row>
    <row r="30" spans="1:13" x14ac:dyDescent="0.25">
      <c r="A30" s="20" t="s">
        <v>23</v>
      </c>
      <c r="B30" s="21" t="s">
        <v>82</v>
      </c>
      <c r="C30" s="20" t="s">
        <v>83</v>
      </c>
      <c r="D30" s="22">
        <v>2</v>
      </c>
      <c r="E30" s="23">
        <v>3080.8</v>
      </c>
      <c r="F30" s="23">
        <v>3080.8</v>
      </c>
      <c r="G30" s="24" t="s">
        <v>18</v>
      </c>
      <c r="H30" s="25">
        <v>8</v>
      </c>
      <c r="I30" s="30"/>
      <c r="J30" s="13"/>
      <c r="K30" s="30"/>
      <c r="L30" s="30"/>
      <c r="M30"/>
    </row>
    <row r="31" spans="1:13" x14ac:dyDescent="0.25">
      <c r="A31" s="20" t="s">
        <v>19</v>
      </c>
      <c r="B31" s="21" t="s">
        <v>84</v>
      </c>
      <c r="C31" s="20" t="s">
        <v>85</v>
      </c>
      <c r="D31" s="22">
        <v>2</v>
      </c>
      <c r="E31" s="23">
        <v>2972.67</v>
      </c>
      <c r="F31" s="23">
        <v>2972.67</v>
      </c>
      <c r="G31" s="24" t="s">
        <v>18</v>
      </c>
      <c r="H31" s="25">
        <v>8</v>
      </c>
      <c r="I31" s="30"/>
      <c r="J31" s="13"/>
      <c r="K31" s="30"/>
      <c r="L31" s="30"/>
    </row>
    <row r="32" spans="1:13" x14ac:dyDescent="0.25">
      <c r="A32" s="20" t="s">
        <v>86</v>
      </c>
      <c r="B32" s="21" t="s">
        <v>87</v>
      </c>
      <c r="C32" s="20" t="s">
        <v>88</v>
      </c>
      <c r="D32" s="22">
        <v>2</v>
      </c>
      <c r="E32" s="23">
        <v>3310.66</v>
      </c>
      <c r="F32" s="23">
        <v>3310.66</v>
      </c>
      <c r="G32" s="24" t="s">
        <v>18</v>
      </c>
      <c r="H32" s="25">
        <v>8</v>
      </c>
      <c r="I32" s="30"/>
      <c r="J32" s="13"/>
      <c r="K32" s="30"/>
      <c r="L32" s="30"/>
    </row>
    <row r="33" spans="1:12" x14ac:dyDescent="0.25">
      <c r="A33" s="20" t="s">
        <v>86</v>
      </c>
      <c r="B33" s="21" t="s">
        <v>89</v>
      </c>
      <c r="C33" s="20" t="s">
        <v>90</v>
      </c>
      <c r="D33" s="22">
        <v>2</v>
      </c>
      <c r="E33" s="23">
        <v>2082.04</v>
      </c>
      <c r="F33" s="23">
        <v>2082.04</v>
      </c>
      <c r="G33" s="24" t="s">
        <v>18</v>
      </c>
      <c r="H33" s="25">
        <v>8</v>
      </c>
      <c r="I33" s="30"/>
      <c r="J33" s="13"/>
      <c r="K33" s="30"/>
      <c r="L33" s="30"/>
    </row>
    <row r="34" spans="1:12" x14ac:dyDescent="0.25">
      <c r="A34" s="20" t="s">
        <v>20</v>
      </c>
      <c r="B34" s="21" t="s">
        <v>21</v>
      </c>
      <c r="C34" s="20" t="s">
        <v>91</v>
      </c>
      <c r="D34" s="22">
        <v>2</v>
      </c>
      <c r="E34" s="23">
        <v>8782.2099999999991</v>
      </c>
      <c r="F34" s="23">
        <v>8782.2099999999991</v>
      </c>
      <c r="G34" s="24" t="s">
        <v>18</v>
      </c>
      <c r="H34" s="25">
        <v>8</v>
      </c>
      <c r="I34" s="30"/>
      <c r="J34" s="13"/>
      <c r="K34" s="30"/>
      <c r="L34" s="30"/>
    </row>
    <row r="35" spans="1:12" x14ac:dyDescent="0.25">
      <c r="A35" s="20" t="s">
        <v>92</v>
      </c>
      <c r="B35" s="21" t="s">
        <v>93</v>
      </c>
      <c r="C35" s="20" t="s">
        <v>94</v>
      </c>
      <c r="D35" s="12">
        <v>0</v>
      </c>
      <c r="E35" s="23">
        <v>2061.5300000000002</v>
      </c>
      <c r="F35" s="23">
        <v>2061.5300000000002</v>
      </c>
      <c r="G35" s="24" t="s">
        <v>18</v>
      </c>
      <c r="H35" s="25">
        <v>8</v>
      </c>
      <c r="I35" s="30"/>
      <c r="J35" s="13"/>
      <c r="K35" s="30"/>
      <c r="L35" s="30"/>
    </row>
    <row r="36" spans="1:12" x14ac:dyDescent="0.25">
      <c r="A36" s="20" t="s">
        <v>95</v>
      </c>
      <c r="B36" s="21" t="s">
        <v>96</v>
      </c>
      <c r="C36" s="20" t="s">
        <v>97</v>
      </c>
      <c r="D36" s="22">
        <v>2</v>
      </c>
      <c r="E36" s="26">
        <v>917.98</v>
      </c>
      <c r="F36" s="26">
        <v>917.98</v>
      </c>
      <c r="G36" s="25" t="s">
        <v>38</v>
      </c>
      <c r="H36" s="25">
        <v>8</v>
      </c>
      <c r="I36" s="30"/>
      <c r="J36" s="13"/>
      <c r="K36" s="30"/>
      <c r="L36" s="30"/>
    </row>
    <row r="37" spans="1:12" x14ac:dyDescent="0.25">
      <c r="A37" s="20" t="s">
        <v>95</v>
      </c>
      <c r="B37" s="21" t="s">
        <v>98</v>
      </c>
      <c r="C37" s="20" t="s">
        <v>99</v>
      </c>
      <c r="D37" s="22">
        <v>2</v>
      </c>
      <c r="E37" s="23">
        <v>1028.19</v>
      </c>
      <c r="F37" s="23">
        <v>1028.19</v>
      </c>
      <c r="G37" s="24" t="s">
        <v>38</v>
      </c>
      <c r="H37" s="25">
        <v>8</v>
      </c>
      <c r="I37" s="30"/>
      <c r="J37" s="13"/>
      <c r="K37" s="30"/>
      <c r="L37" s="30"/>
    </row>
    <row r="38" spans="1:12" x14ac:dyDescent="0.25">
      <c r="A38" s="20" t="s">
        <v>95</v>
      </c>
      <c r="B38" s="21" t="s">
        <v>100</v>
      </c>
      <c r="C38" s="20" t="s">
        <v>101</v>
      </c>
      <c r="D38" s="22">
        <v>2</v>
      </c>
      <c r="E38" s="23">
        <v>1722.14</v>
      </c>
      <c r="F38" s="23">
        <v>1722.14</v>
      </c>
      <c r="G38" s="24" t="s">
        <v>38</v>
      </c>
      <c r="H38" s="25">
        <v>8</v>
      </c>
      <c r="I38" s="30"/>
      <c r="J38" s="13"/>
      <c r="K38" s="30"/>
      <c r="L38" s="30"/>
    </row>
    <row r="39" spans="1:12" x14ac:dyDescent="0.25">
      <c r="A39" s="20" t="s">
        <v>102</v>
      </c>
      <c r="B39" s="21" t="s">
        <v>103</v>
      </c>
      <c r="C39" s="20" t="s">
        <v>104</v>
      </c>
      <c r="D39" s="22">
        <v>2</v>
      </c>
      <c r="E39" s="23">
        <v>3299.63</v>
      </c>
      <c r="F39" s="23">
        <v>6599.26</v>
      </c>
      <c r="G39" s="24" t="s">
        <v>18</v>
      </c>
      <c r="H39" s="25">
        <v>8</v>
      </c>
      <c r="I39" s="30"/>
      <c r="J39" s="13"/>
      <c r="K39" s="30"/>
      <c r="L39" s="30"/>
    </row>
    <row r="40" spans="1:12" x14ac:dyDescent="0.25">
      <c r="A40" s="20" t="s">
        <v>105</v>
      </c>
      <c r="B40" s="21" t="s">
        <v>106</v>
      </c>
      <c r="C40" s="20" t="s">
        <v>107</v>
      </c>
      <c r="D40" s="22">
        <v>2</v>
      </c>
      <c r="E40" s="23">
        <v>2101.46</v>
      </c>
      <c r="F40" s="23">
        <v>2101.46</v>
      </c>
      <c r="G40" s="24" t="s">
        <v>18</v>
      </c>
      <c r="H40" s="25">
        <v>8</v>
      </c>
      <c r="I40" s="30"/>
      <c r="J40" s="13"/>
      <c r="K40" s="30"/>
      <c r="L40" s="30"/>
    </row>
    <row r="41" spans="1:12" x14ac:dyDescent="0.25">
      <c r="A41" s="20" t="s">
        <v>17</v>
      </c>
      <c r="B41" s="21" t="s">
        <v>108</v>
      </c>
      <c r="C41" s="20" t="s">
        <v>109</v>
      </c>
      <c r="D41" s="22">
        <v>2</v>
      </c>
      <c r="E41" s="23">
        <v>6824.52</v>
      </c>
      <c r="F41" s="23">
        <v>6824.52</v>
      </c>
      <c r="G41" s="24" t="s">
        <v>18</v>
      </c>
      <c r="H41" s="25">
        <v>8</v>
      </c>
      <c r="I41" s="30"/>
      <c r="J41" s="13"/>
      <c r="K41" s="30"/>
      <c r="L41" s="30"/>
    </row>
    <row r="42" spans="1:12" x14ac:dyDescent="0.25">
      <c r="A42" s="20" t="s">
        <v>110</v>
      </c>
      <c r="B42" s="21" t="s">
        <v>111</v>
      </c>
      <c r="C42" s="20" t="s">
        <v>112</v>
      </c>
      <c r="D42" s="22">
        <v>2</v>
      </c>
      <c r="E42" s="23">
        <v>4360.3599999999997</v>
      </c>
      <c r="F42" s="23">
        <v>4360.3599999999997</v>
      </c>
      <c r="G42" s="24" t="s">
        <v>18</v>
      </c>
      <c r="H42" s="25">
        <v>8</v>
      </c>
      <c r="I42" s="30"/>
      <c r="J42" s="13"/>
      <c r="K42" s="30"/>
      <c r="L42" s="30"/>
    </row>
    <row r="43" spans="1:12" x14ac:dyDescent="0.25">
      <c r="A43" s="20" t="s">
        <v>110</v>
      </c>
      <c r="B43" s="21" t="s">
        <v>113</v>
      </c>
      <c r="C43" s="20" t="s">
        <v>114</v>
      </c>
      <c r="D43" s="22">
        <v>1</v>
      </c>
      <c r="E43" s="23">
        <v>8587.77</v>
      </c>
      <c r="F43" s="23">
        <v>8587.77</v>
      </c>
      <c r="G43" s="24" t="s">
        <v>18</v>
      </c>
      <c r="H43" s="25">
        <v>8</v>
      </c>
      <c r="I43" s="30"/>
      <c r="J43" s="13"/>
      <c r="K43" s="30"/>
      <c r="L43" s="30"/>
    </row>
    <row r="44" spans="1:12" x14ac:dyDescent="0.25">
      <c r="A44" s="20" t="s">
        <v>115</v>
      </c>
      <c r="B44" s="21" t="s">
        <v>116</v>
      </c>
      <c r="C44" s="20" t="s">
        <v>117</v>
      </c>
      <c r="D44" s="22">
        <v>2</v>
      </c>
      <c r="E44" s="23">
        <v>9384.7900000000009</v>
      </c>
      <c r="F44" s="23">
        <v>9384.7900000000009</v>
      </c>
      <c r="G44" s="24" t="s">
        <v>38</v>
      </c>
      <c r="H44" s="25">
        <v>8</v>
      </c>
      <c r="I44" s="30"/>
      <c r="J44" s="13"/>
      <c r="K44" s="30"/>
      <c r="L44" s="30"/>
    </row>
    <row r="45" spans="1:12" x14ac:dyDescent="0.25">
      <c r="A45" s="20" t="s">
        <v>118</v>
      </c>
      <c r="B45" s="21" t="s">
        <v>119</v>
      </c>
      <c r="C45" s="20" t="s">
        <v>30</v>
      </c>
      <c r="D45" s="22">
        <v>2</v>
      </c>
      <c r="E45" s="26">
        <v>909.38</v>
      </c>
      <c r="F45" s="26">
        <v>909.38</v>
      </c>
      <c r="G45" s="24" t="s">
        <v>38</v>
      </c>
      <c r="H45" s="25">
        <v>8</v>
      </c>
      <c r="I45" s="30"/>
      <c r="J45" s="13"/>
      <c r="K45" s="30"/>
      <c r="L45" s="30"/>
    </row>
    <row r="46" spans="1:12" x14ac:dyDescent="0.25">
      <c r="A46" s="20" t="s">
        <v>120</v>
      </c>
      <c r="B46" s="21" t="s">
        <v>121</v>
      </c>
      <c r="C46" s="20" t="s">
        <v>122</v>
      </c>
      <c r="D46" s="22">
        <v>2</v>
      </c>
      <c r="E46" s="26">
        <v>454.07</v>
      </c>
      <c r="F46" s="23">
        <v>1362.21</v>
      </c>
      <c r="G46" s="24" t="s">
        <v>18</v>
      </c>
      <c r="H46" s="25">
        <v>8</v>
      </c>
      <c r="I46" s="30"/>
      <c r="J46" s="13"/>
      <c r="K46" s="30"/>
      <c r="L46" s="30"/>
    </row>
    <row r="47" spans="1:12" x14ac:dyDescent="0.25">
      <c r="A47" s="20" t="s">
        <v>120</v>
      </c>
      <c r="B47" s="21" t="s">
        <v>123</v>
      </c>
      <c r="C47" s="20" t="s">
        <v>124</v>
      </c>
      <c r="D47" s="22">
        <v>2</v>
      </c>
      <c r="E47" s="23">
        <v>1650.66</v>
      </c>
      <c r="F47" s="23">
        <v>1650.66</v>
      </c>
      <c r="G47" s="24" t="s">
        <v>18</v>
      </c>
      <c r="H47" s="25">
        <v>8</v>
      </c>
      <c r="I47" s="30"/>
      <c r="J47" s="13"/>
      <c r="K47" s="30"/>
      <c r="L47" s="30"/>
    </row>
    <row r="48" spans="1:12" x14ac:dyDescent="0.25">
      <c r="A48" s="20" t="s">
        <v>125</v>
      </c>
      <c r="B48" s="21" t="s">
        <v>126</v>
      </c>
      <c r="C48" s="20" t="s">
        <v>127</v>
      </c>
      <c r="D48" s="22">
        <v>2</v>
      </c>
      <c r="E48" s="23">
        <v>8169.22</v>
      </c>
      <c r="F48" s="23">
        <v>8169.22</v>
      </c>
      <c r="G48" s="24" t="s">
        <v>18</v>
      </c>
      <c r="H48" s="25">
        <v>8</v>
      </c>
      <c r="I48" s="30"/>
      <c r="J48" s="13"/>
      <c r="K48" s="30"/>
      <c r="L48" s="30"/>
    </row>
    <row r="49" spans="1:12" x14ac:dyDescent="0.25">
      <c r="A49" s="20" t="s">
        <v>125</v>
      </c>
      <c r="B49" s="21" t="s">
        <v>128</v>
      </c>
      <c r="C49" s="20" t="s">
        <v>129</v>
      </c>
      <c r="D49" s="22">
        <v>2</v>
      </c>
      <c r="E49" s="23">
        <v>10211.469999999999</v>
      </c>
      <c r="F49" s="23">
        <v>10211.469999999999</v>
      </c>
      <c r="G49" s="24" t="s">
        <v>18</v>
      </c>
      <c r="H49" s="25">
        <v>8</v>
      </c>
      <c r="I49" s="30"/>
      <c r="J49" s="13"/>
      <c r="K49" s="30"/>
      <c r="L49" s="30"/>
    </row>
    <row r="50" spans="1:12" x14ac:dyDescent="0.25">
      <c r="A50" s="20" t="s">
        <v>125</v>
      </c>
      <c r="B50" s="21" t="s">
        <v>128</v>
      </c>
      <c r="C50" s="20" t="s">
        <v>129</v>
      </c>
      <c r="D50" s="22">
        <v>2</v>
      </c>
      <c r="E50" s="23">
        <v>10189.629999999999</v>
      </c>
      <c r="F50" s="23">
        <v>10189.629999999999</v>
      </c>
      <c r="G50" s="24" t="s">
        <v>18</v>
      </c>
      <c r="H50" s="25">
        <v>8</v>
      </c>
      <c r="I50" s="30"/>
      <c r="J50" s="13"/>
      <c r="K50" s="30"/>
      <c r="L50" s="30"/>
    </row>
    <row r="51" spans="1:12" x14ac:dyDescent="0.25">
      <c r="A51" s="20" t="s">
        <v>130</v>
      </c>
      <c r="B51" s="21" t="s">
        <v>131</v>
      </c>
      <c r="C51" s="20" t="s">
        <v>132</v>
      </c>
      <c r="D51" s="22">
        <v>2</v>
      </c>
      <c r="E51" s="26">
        <v>628.37</v>
      </c>
      <c r="F51" s="26">
        <v>628.37</v>
      </c>
      <c r="G51" s="25" t="s">
        <v>18</v>
      </c>
      <c r="H51" s="25">
        <v>8</v>
      </c>
      <c r="I51" s="30"/>
      <c r="J51" s="13"/>
      <c r="K51" s="30"/>
      <c r="L51" s="30"/>
    </row>
    <row r="52" spans="1:12" x14ac:dyDescent="0.25">
      <c r="A52" s="20" t="s">
        <v>133</v>
      </c>
      <c r="B52" s="21" t="s">
        <v>134</v>
      </c>
      <c r="C52" s="20" t="s">
        <v>135</v>
      </c>
      <c r="D52" s="22">
        <v>2</v>
      </c>
      <c r="E52" s="23">
        <v>1495.23</v>
      </c>
      <c r="F52" s="23">
        <v>1495.23</v>
      </c>
      <c r="G52" s="24" t="s">
        <v>18</v>
      </c>
      <c r="H52" s="25">
        <v>8</v>
      </c>
      <c r="I52" s="30"/>
      <c r="J52" s="13"/>
      <c r="K52" s="30"/>
      <c r="L52" s="30"/>
    </row>
    <row r="53" spans="1:12" x14ac:dyDescent="0.25">
      <c r="A53" s="20" t="s">
        <v>136</v>
      </c>
      <c r="B53" s="21" t="s">
        <v>137</v>
      </c>
      <c r="C53" s="20" t="s">
        <v>138</v>
      </c>
      <c r="D53" s="22">
        <v>2</v>
      </c>
      <c r="E53" s="26">
        <v>652.79</v>
      </c>
      <c r="F53" s="26">
        <v>652.79</v>
      </c>
      <c r="G53" s="24" t="s">
        <v>18</v>
      </c>
      <c r="H53" s="25">
        <v>8</v>
      </c>
      <c r="I53" s="30"/>
      <c r="J53" s="13"/>
      <c r="K53" s="30"/>
      <c r="L53" s="30"/>
    </row>
    <row r="54" spans="1:12" x14ac:dyDescent="0.25">
      <c r="A54" s="20" t="s">
        <v>136</v>
      </c>
      <c r="B54" s="21" t="s">
        <v>139</v>
      </c>
      <c r="C54" s="20" t="s">
        <v>132</v>
      </c>
      <c r="D54" s="22">
        <v>2</v>
      </c>
      <c r="E54" s="26">
        <v>110.51</v>
      </c>
      <c r="F54" s="26">
        <v>110.51</v>
      </c>
      <c r="G54" s="24" t="s">
        <v>18</v>
      </c>
      <c r="H54" s="25">
        <v>8</v>
      </c>
      <c r="I54" s="30"/>
      <c r="J54" s="13"/>
      <c r="K54" s="30"/>
      <c r="L54" s="30"/>
    </row>
    <row r="55" spans="1:12" x14ac:dyDescent="0.25">
      <c r="A55" s="20" t="s">
        <v>140</v>
      </c>
      <c r="B55" s="21" t="s">
        <v>141</v>
      </c>
      <c r="C55" s="20" t="s">
        <v>142</v>
      </c>
      <c r="D55" s="22">
        <v>2</v>
      </c>
      <c r="E55" s="26">
        <v>822.35</v>
      </c>
      <c r="F55" s="26">
        <v>822.35</v>
      </c>
      <c r="G55" s="24" t="s">
        <v>18</v>
      </c>
      <c r="H55" s="25">
        <v>8</v>
      </c>
      <c r="I55" s="30"/>
      <c r="J55" s="13"/>
      <c r="K55" s="30"/>
      <c r="L55" s="30"/>
    </row>
    <row r="56" spans="1:12" x14ac:dyDescent="0.25">
      <c r="A56" s="20" t="s">
        <v>143</v>
      </c>
      <c r="B56" s="21" t="s">
        <v>144</v>
      </c>
      <c r="C56" s="20" t="s">
        <v>145</v>
      </c>
      <c r="D56" s="22">
        <v>2</v>
      </c>
      <c r="E56" s="23">
        <v>1248.5999999999999</v>
      </c>
      <c r="F56" s="23">
        <v>1248.5999999999999</v>
      </c>
      <c r="G56" s="25" t="s">
        <v>18</v>
      </c>
      <c r="H56" s="25">
        <v>8</v>
      </c>
      <c r="I56" s="30"/>
      <c r="J56" s="13"/>
      <c r="K56" s="30"/>
      <c r="L56" s="30"/>
    </row>
    <row r="57" spans="1:12" x14ac:dyDescent="0.25">
      <c r="A57" s="20" t="s">
        <v>146</v>
      </c>
      <c r="B57" s="21" t="s">
        <v>147</v>
      </c>
      <c r="C57" s="20" t="s">
        <v>104</v>
      </c>
      <c r="D57" s="22">
        <v>2</v>
      </c>
      <c r="E57" s="23">
        <v>3172.02</v>
      </c>
      <c r="F57" s="23">
        <v>3172.02</v>
      </c>
      <c r="G57" s="24" t="s">
        <v>50</v>
      </c>
      <c r="H57" s="25">
        <v>8</v>
      </c>
      <c r="I57" s="30"/>
      <c r="J57" s="13"/>
      <c r="K57" s="30"/>
      <c r="L57" s="30"/>
    </row>
    <row r="58" spans="1:12" x14ac:dyDescent="0.25">
      <c r="A58" s="20" t="s">
        <v>148</v>
      </c>
      <c r="B58" s="21" t="s">
        <v>149</v>
      </c>
      <c r="C58" s="20" t="s">
        <v>150</v>
      </c>
      <c r="D58" s="22">
        <v>2</v>
      </c>
      <c r="E58" s="26">
        <v>682.15</v>
      </c>
      <c r="F58" s="26">
        <v>682.15</v>
      </c>
      <c r="G58" s="24" t="s">
        <v>18</v>
      </c>
      <c r="H58" s="25">
        <v>8</v>
      </c>
      <c r="I58" s="30"/>
      <c r="J58" s="13"/>
      <c r="K58" s="30"/>
      <c r="L58" s="30"/>
    </row>
    <row r="59" spans="1:12" x14ac:dyDescent="0.25">
      <c r="A59" s="20" t="s">
        <v>148</v>
      </c>
      <c r="B59" s="21" t="s">
        <v>151</v>
      </c>
      <c r="C59" s="20" t="s">
        <v>152</v>
      </c>
      <c r="D59" s="22">
        <v>2</v>
      </c>
      <c r="E59" s="23">
        <v>1392.76</v>
      </c>
      <c r="F59" s="23">
        <v>8356.56</v>
      </c>
      <c r="G59" s="24" t="s">
        <v>18</v>
      </c>
      <c r="H59" s="25">
        <v>8</v>
      </c>
      <c r="I59" s="30"/>
      <c r="J59" s="13"/>
      <c r="K59" s="30"/>
      <c r="L59" s="30"/>
    </row>
    <row r="60" spans="1:12" x14ac:dyDescent="0.25">
      <c r="A60" s="20" t="s">
        <v>153</v>
      </c>
      <c r="B60" s="21" t="s">
        <v>154</v>
      </c>
      <c r="C60" s="20" t="s">
        <v>155</v>
      </c>
      <c r="D60" s="22">
        <v>2</v>
      </c>
      <c r="E60" s="26">
        <v>205.88</v>
      </c>
      <c r="F60" s="26">
        <v>205.88</v>
      </c>
      <c r="G60" s="24" t="s">
        <v>18</v>
      </c>
      <c r="H60" s="25">
        <v>8</v>
      </c>
      <c r="I60" s="30"/>
      <c r="J60" s="13"/>
      <c r="K60" s="30"/>
      <c r="L60" s="30"/>
    </row>
    <row r="61" spans="1:12" x14ac:dyDescent="0.25">
      <c r="A61" s="20" t="s">
        <v>153</v>
      </c>
      <c r="B61" s="21" t="s">
        <v>156</v>
      </c>
      <c r="C61" s="20" t="s">
        <v>157</v>
      </c>
      <c r="D61" s="22">
        <v>2</v>
      </c>
      <c r="E61" s="23">
        <v>2322.0100000000002</v>
      </c>
      <c r="F61" s="23">
        <v>4644.0200000000004</v>
      </c>
      <c r="G61" s="24" t="s">
        <v>50</v>
      </c>
      <c r="H61" s="25">
        <v>8</v>
      </c>
      <c r="I61" s="30"/>
      <c r="J61" s="13"/>
      <c r="K61" s="30"/>
      <c r="L61" s="30"/>
    </row>
    <row r="62" spans="1:12" x14ac:dyDescent="0.25">
      <c r="A62" s="20" t="s">
        <v>153</v>
      </c>
      <c r="B62" s="21" t="s">
        <v>158</v>
      </c>
      <c r="C62" s="20" t="s">
        <v>157</v>
      </c>
      <c r="D62" s="22">
        <v>2</v>
      </c>
      <c r="E62" s="23">
        <v>2507.0500000000002</v>
      </c>
      <c r="F62" s="23">
        <v>5014.1000000000004</v>
      </c>
      <c r="G62" s="24" t="s">
        <v>50</v>
      </c>
      <c r="H62" s="25">
        <v>8</v>
      </c>
      <c r="I62" s="30"/>
      <c r="J62" s="13"/>
      <c r="K62" s="30"/>
      <c r="L62" s="30"/>
    </row>
    <row r="63" spans="1:12" x14ac:dyDescent="0.25">
      <c r="A63" s="20" t="s">
        <v>159</v>
      </c>
      <c r="B63" s="21" t="s">
        <v>160</v>
      </c>
      <c r="C63" s="20" t="s">
        <v>161</v>
      </c>
      <c r="D63" s="22">
        <v>2</v>
      </c>
      <c r="E63" s="23">
        <v>1132.54</v>
      </c>
      <c r="F63" s="23">
        <v>1132.54</v>
      </c>
      <c r="G63" s="24" t="s">
        <v>50</v>
      </c>
      <c r="H63" s="25">
        <v>8</v>
      </c>
      <c r="I63" s="30"/>
      <c r="J63" s="13"/>
      <c r="K63" s="30"/>
      <c r="L63" s="30"/>
    </row>
    <row r="64" spans="1:12" x14ac:dyDescent="0.25">
      <c r="A64" s="20" t="s">
        <v>159</v>
      </c>
      <c r="B64" s="21" t="s">
        <v>162</v>
      </c>
      <c r="C64" s="20" t="s">
        <v>161</v>
      </c>
      <c r="D64" s="22">
        <v>2</v>
      </c>
      <c r="E64" s="23">
        <v>1653.47</v>
      </c>
      <c r="F64" s="23">
        <v>1653.47</v>
      </c>
      <c r="G64" s="24" t="s">
        <v>38</v>
      </c>
      <c r="H64" s="25">
        <v>8</v>
      </c>
      <c r="I64" s="30"/>
      <c r="J64" s="13"/>
      <c r="K64" s="30"/>
      <c r="L64" s="30"/>
    </row>
    <row r="65" spans="1:12" x14ac:dyDescent="0.25">
      <c r="A65" s="20" t="s">
        <v>163</v>
      </c>
      <c r="B65" s="21" t="s">
        <v>164</v>
      </c>
      <c r="C65" s="20" t="s">
        <v>165</v>
      </c>
      <c r="D65" s="22">
        <v>2</v>
      </c>
      <c r="E65" s="23">
        <v>1748.04</v>
      </c>
      <c r="F65" s="23">
        <f>E65*D65</f>
        <v>3496.08</v>
      </c>
      <c r="G65" s="24" t="s">
        <v>166</v>
      </c>
      <c r="H65" s="25">
        <v>8</v>
      </c>
      <c r="I65" s="30"/>
      <c r="J65" s="13"/>
      <c r="K65" s="30"/>
      <c r="L65" s="30"/>
    </row>
    <row r="66" spans="1:12" x14ac:dyDescent="0.25">
      <c r="A66" s="20" t="s">
        <v>167</v>
      </c>
      <c r="B66" s="21" t="s">
        <v>168</v>
      </c>
      <c r="C66" s="20" t="s">
        <v>169</v>
      </c>
      <c r="D66" s="22">
        <v>2</v>
      </c>
      <c r="E66" s="23">
        <v>1227.83</v>
      </c>
      <c r="F66" s="23">
        <v>3683.49</v>
      </c>
      <c r="G66" s="24" t="s">
        <v>18</v>
      </c>
      <c r="H66" s="25">
        <v>8</v>
      </c>
      <c r="I66" s="30"/>
      <c r="J66" s="13"/>
      <c r="K66" s="30"/>
      <c r="L66" s="30"/>
    </row>
    <row r="67" spans="1:12" x14ac:dyDescent="0.25">
      <c r="A67" s="20" t="s">
        <v>167</v>
      </c>
      <c r="B67" s="21" t="s">
        <v>170</v>
      </c>
      <c r="C67" s="20" t="s">
        <v>16</v>
      </c>
      <c r="D67" s="22">
        <v>2</v>
      </c>
      <c r="E67" s="23">
        <v>1312.37</v>
      </c>
      <c r="F67" s="23">
        <v>1312.37</v>
      </c>
      <c r="G67" s="24" t="s">
        <v>18</v>
      </c>
      <c r="H67" s="25">
        <v>8</v>
      </c>
      <c r="I67" s="30"/>
      <c r="J67" s="13"/>
      <c r="K67" s="30"/>
      <c r="L67" s="30"/>
    </row>
    <row r="68" spans="1:12" x14ac:dyDescent="0.25">
      <c r="A68" s="20" t="s">
        <v>167</v>
      </c>
      <c r="B68" s="21" t="s">
        <v>171</v>
      </c>
      <c r="C68" s="20" t="s">
        <v>16</v>
      </c>
      <c r="D68" s="22">
        <v>2</v>
      </c>
      <c r="E68" s="23">
        <v>1208.48</v>
      </c>
      <c r="F68" s="23">
        <v>1208.48</v>
      </c>
      <c r="G68" s="24" t="s">
        <v>18</v>
      </c>
      <c r="H68" s="25">
        <v>8</v>
      </c>
      <c r="I68" s="30"/>
      <c r="J68" s="13"/>
      <c r="K68" s="30"/>
      <c r="L68" s="30"/>
    </row>
    <row r="69" spans="1:12" x14ac:dyDescent="0.25">
      <c r="A69" s="20" t="s">
        <v>172</v>
      </c>
      <c r="B69" s="21" t="s">
        <v>173</v>
      </c>
      <c r="C69" s="20" t="s">
        <v>174</v>
      </c>
      <c r="D69" s="22">
        <v>2</v>
      </c>
      <c r="E69" s="23">
        <v>2920.05</v>
      </c>
      <c r="F69" s="23">
        <v>2920.05</v>
      </c>
      <c r="G69" s="24" t="s">
        <v>38</v>
      </c>
      <c r="H69" s="25">
        <v>8</v>
      </c>
      <c r="I69" s="30"/>
      <c r="J69" s="13"/>
      <c r="K69" s="30"/>
      <c r="L69" s="30"/>
    </row>
    <row r="70" spans="1:12" x14ac:dyDescent="0.25">
      <c r="A70" s="20" t="s">
        <v>172</v>
      </c>
      <c r="B70" s="21" t="s">
        <v>175</v>
      </c>
      <c r="C70" s="20" t="s">
        <v>176</v>
      </c>
      <c r="D70" s="22">
        <v>2</v>
      </c>
      <c r="E70" s="23">
        <v>5671.72</v>
      </c>
      <c r="F70" s="23">
        <v>5671.72</v>
      </c>
      <c r="G70" s="24" t="s">
        <v>18</v>
      </c>
      <c r="H70" s="25">
        <v>8</v>
      </c>
      <c r="I70" s="30"/>
      <c r="J70" s="13"/>
      <c r="K70" s="30"/>
      <c r="L70" s="30"/>
    </row>
    <row r="71" spans="1:12" x14ac:dyDescent="0.25">
      <c r="A71" s="20" t="s">
        <v>177</v>
      </c>
      <c r="B71" s="21" t="s">
        <v>178</v>
      </c>
      <c r="C71" s="20" t="s">
        <v>179</v>
      </c>
      <c r="D71" s="22">
        <v>2</v>
      </c>
      <c r="E71" s="23">
        <v>1175.1600000000001</v>
      </c>
      <c r="F71" s="23">
        <v>1175.1600000000001</v>
      </c>
      <c r="G71" s="24" t="s">
        <v>38</v>
      </c>
      <c r="H71" s="25">
        <v>8</v>
      </c>
      <c r="I71" s="30"/>
      <c r="J71" s="13"/>
      <c r="K71" s="30"/>
      <c r="L71" s="30"/>
    </row>
    <row r="72" spans="1:12" x14ac:dyDescent="0.25">
      <c r="A72" s="20" t="s">
        <v>180</v>
      </c>
      <c r="B72" s="21" t="s">
        <v>181</v>
      </c>
      <c r="C72" s="20" t="s">
        <v>182</v>
      </c>
      <c r="D72" s="22">
        <v>2</v>
      </c>
      <c r="E72" s="23">
        <v>3641.62</v>
      </c>
      <c r="F72" s="23">
        <v>3641.62</v>
      </c>
      <c r="G72" s="24" t="s">
        <v>18</v>
      </c>
      <c r="H72" s="25">
        <v>8</v>
      </c>
      <c r="I72" s="30"/>
      <c r="J72" s="13"/>
      <c r="K72" s="30"/>
      <c r="L72" s="30"/>
    </row>
    <row r="73" spans="1:12" x14ac:dyDescent="0.25">
      <c r="A73" s="20" t="s">
        <v>13</v>
      </c>
      <c r="B73" s="21" t="s">
        <v>183</v>
      </c>
      <c r="C73" s="20" t="s">
        <v>14</v>
      </c>
      <c r="D73" s="22">
        <v>2</v>
      </c>
      <c r="E73" s="23">
        <v>4706.66</v>
      </c>
      <c r="F73" s="23">
        <v>4706.66</v>
      </c>
      <c r="G73" s="24" t="s">
        <v>18</v>
      </c>
      <c r="H73" s="25">
        <v>8</v>
      </c>
      <c r="I73" s="30"/>
      <c r="J73" s="13"/>
      <c r="K73" s="30"/>
      <c r="L73" s="30"/>
    </row>
    <row r="74" spans="1:12" x14ac:dyDescent="0.25">
      <c r="A74" s="20" t="s">
        <v>15</v>
      </c>
      <c r="B74" s="21" t="s">
        <v>184</v>
      </c>
      <c r="C74" s="20" t="s">
        <v>161</v>
      </c>
      <c r="D74" s="22">
        <v>2</v>
      </c>
      <c r="E74" s="26">
        <v>555.16</v>
      </c>
      <c r="F74" s="26">
        <v>555.16</v>
      </c>
      <c r="G74" s="25" t="s">
        <v>18</v>
      </c>
      <c r="H74" s="25">
        <v>7</v>
      </c>
      <c r="I74" s="30"/>
      <c r="J74" s="13"/>
      <c r="K74" s="30"/>
      <c r="L74" s="30"/>
    </row>
    <row r="75" spans="1:12" x14ac:dyDescent="0.25">
      <c r="A75" s="20" t="s">
        <v>15</v>
      </c>
      <c r="B75" s="21" t="s">
        <v>185</v>
      </c>
      <c r="C75" s="20" t="s">
        <v>186</v>
      </c>
      <c r="D75" s="22">
        <v>2</v>
      </c>
      <c r="E75" s="23">
        <v>7769.79</v>
      </c>
      <c r="F75" s="23">
        <v>7769.79</v>
      </c>
      <c r="G75" s="24" t="s">
        <v>18</v>
      </c>
      <c r="H75" s="25">
        <v>7</v>
      </c>
      <c r="I75" s="30"/>
      <c r="J75" s="13"/>
      <c r="K75" s="30"/>
      <c r="L75" s="30"/>
    </row>
    <row r="76" spans="1:12" x14ac:dyDescent="0.25">
      <c r="A76" s="20" t="s">
        <v>187</v>
      </c>
      <c r="B76" s="21" t="s">
        <v>188</v>
      </c>
      <c r="C76" s="20" t="s">
        <v>189</v>
      </c>
      <c r="D76" s="22">
        <v>2</v>
      </c>
      <c r="E76" s="26">
        <v>802.24</v>
      </c>
      <c r="F76" s="23">
        <v>1604.48</v>
      </c>
      <c r="G76" s="24" t="s">
        <v>18</v>
      </c>
      <c r="H76" s="25">
        <v>7</v>
      </c>
      <c r="I76" s="30"/>
      <c r="J76" s="13"/>
      <c r="K76" s="30"/>
      <c r="L76" s="30"/>
    </row>
    <row r="77" spans="1:12" x14ac:dyDescent="0.25">
      <c r="A77" s="20" t="s">
        <v>190</v>
      </c>
      <c r="B77" s="21" t="s">
        <v>191</v>
      </c>
      <c r="C77" s="20" t="s">
        <v>16</v>
      </c>
      <c r="D77" s="22">
        <v>2</v>
      </c>
      <c r="E77" s="26">
        <v>820.5</v>
      </c>
      <c r="F77" s="26">
        <v>820.5</v>
      </c>
      <c r="G77" s="24" t="s">
        <v>18</v>
      </c>
      <c r="H77" s="25">
        <v>7</v>
      </c>
      <c r="I77" s="30"/>
      <c r="J77" s="13"/>
      <c r="K77" s="30"/>
      <c r="L77" s="30"/>
    </row>
    <row r="78" spans="1:12" x14ac:dyDescent="0.25">
      <c r="A78" s="20" t="s">
        <v>192</v>
      </c>
      <c r="B78" s="21" t="s">
        <v>193</v>
      </c>
      <c r="C78" s="20" t="s">
        <v>194</v>
      </c>
      <c r="D78" s="22">
        <v>2</v>
      </c>
      <c r="E78" s="23">
        <v>1339.62</v>
      </c>
      <c r="F78" s="23">
        <v>1339.62</v>
      </c>
      <c r="G78" s="24" t="s">
        <v>38</v>
      </c>
      <c r="H78" s="25">
        <v>7</v>
      </c>
      <c r="I78" s="30"/>
      <c r="J78" s="13"/>
      <c r="K78" s="30"/>
      <c r="L78" s="30"/>
    </row>
    <row r="79" spans="1:12" x14ac:dyDescent="0.25">
      <c r="A79" s="20" t="s">
        <v>192</v>
      </c>
      <c r="B79" s="21" t="s">
        <v>195</v>
      </c>
      <c r="C79" s="20" t="s">
        <v>196</v>
      </c>
      <c r="D79" s="22">
        <v>2</v>
      </c>
      <c r="E79" s="23">
        <v>2144.37</v>
      </c>
      <c r="F79" s="23">
        <v>4288.74</v>
      </c>
      <c r="G79" s="24" t="s">
        <v>38</v>
      </c>
      <c r="H79" s="25">
        <v>7</v>
      </c>
      <c r="I79" s="30"/>
      <c r="J79" s="13"/>
      <c r="K79" s="30"/>
      <c r="L79" s="30"/>
    </row>
    <row r="80" spans="1:12" x14ac:dyDescent="0.25">
      <c r="A80" s="20" t="s">
        <v>192</v>
      </c>
      <c r="B80" s="21" t="s">
        <v>197</v>
      </c>
      <c r="C80" s="20" t="s">
        <v>198</v>
      </c>
      <c r="D80" s="22">
        <v>2</v>
      </c>
      <c r="E80" s="23">
        <v>1357.46</v>
      </c>
      <c r="F80" s="23">
        <v>1357.46</v>
      </c>
      <c r="G80" s="24" t="s">
        <v>38</v>
      </c>
      <c r="H80" s="25">
        <v>7</v>
      </c>
      <c r="I80" s="30"/>
      <c r="J80" s="13"/>
      <c r="K80" s="30"/>
      <c r="L80" s="30"/>
    </row>
    <row r="81" spans="1:12" x14ac:dyDescent="0.25">
      <c r="A81" s="20" t="s">
        <v>199</v>
      </c>
      <c r="B81" s="21" t="s">
        <v>200</v>
      </c>
      <c r="C81" s="20" t="s">
        <v>201</v>
      </c>
      <c r="D81" s="22">
        <v>2</v>
      </c>
      <c r="E81" s="23">
        <v>5241.93</v>
      </c>
      <c r="F81" s="23">
        <v>5241.93</v>
      </c>
      <c r="G81" s="24" t="s">
        <v>18</v>
      </c>
      <c r="H81" s="25">
        <v>7</v>
      </c>
      <c r="I81" s="30"/>
      <c r="J81" s="13"/>
      <c r="K81" s="30"/>
      <c r="L81" s="30"/>
    </row>
    <row r="82" spans="1:12" x14ac:dyDescent="0.25">
      <c r="A82" s="20" t="s">
        <v>63</v>
      </c>
      <c r="B82" s="21" t="s">
        <v>202</v>
      </c>
      <c r="C82" s="20" t="s">
        <v>203</v>
      </c>
      <c r="D82" s="22">
        <v>2</v>
      </c>
      <c r="E82" s="23">
        <v>13462.63</v>
      </c>
      <c r="F82" s="23">
        <v>13462.63</v>
      </c>
      <c r="G82" s="24" t="s">
        <v>50</v>
      </c>
      <c r="H82" s="25">
        <v>7</v>
      </c>
      <c r="I82" s="30"/>
      <c r="J82" s="13"/>
      <c r="K82" s="30"/>
      <c r="L82" s="30"/>
    </row>
    <row r="83" spans="1:12" x14ac:dyDescent="0.25">
      <c r="A83" s="20" t="s">
        <v>63</v>
      </c>
      <c r="B83" s="21" t="s">
        <v>204</v>
      </c>
      <c r="C83" s="20" t="s">
        <v>205</v>
      </c>
      <c r="D83" s="22">
        <v>2</v>
      </c>
      <c r="E83" s="26">
        <v>127.74</v>
      </c>
      <c r="F83" s="26">
        <v>127.74</v>
      </c>
      <c r="G83" s="24" t="s">
        <v>50</v>
      </c>
      <c r="H83" s="25">
        <v>7</v>
      </c>
      <c r="I83" s="32"/>
      <c r="J83" s="33"/>
      <c r="K83" s="30"/>
      <c r="L83" s="34"/>
    </row>
    <row r="84" spans="1:12" x14ac:dyDescent="0.25">
      <c r="A84" s="20" t="s">
        <v>206</v>
      </c>
      <c r="B84" s="21" t="s">
        <v>207</v>
      </c>
      <c r="C84" s="20" t="s">
        <v>208</v>
      </c>
      <c r="D84" s="22">
        <v>2</v>
      </c>
      <c r="E84" s="23">
        <v>1500.03</v>
      </c>
      <c r="F84" s="23">
        <v>1500.03</v>
      </c>
      <c r="G84" s="24" t="s">
        <v>18</v>
      </c>
      <c r="H84" s="25">
        <v>7</v>
      </c>
      <c r="I84" s="32"/>
      <c r="J84" s="33"/>
      <c r="K84" s="30"/>
      <c r="L84" s="34"/>
    </row>
    <row r="85" spans="1:12" x14ac:dyDescent="0.25">
      <c r="A85" s="20" t="s">
        <v>23</v>
      </c>
      <c r="B85" s="21" t="s">
        <v>24</v>
      </c>
      <c r="C85" s="20" t="s">
        <v>25</v>
      </c>
      <c r="D85" s="22">
        <v>2</v>
      </c>
      <c r="E85" s="26">
        <v>779.12</v>
      </c>
      <c r="F85" s="26">
        <v>779.12</v>
      </c>
      <c r="G85" s="24" t="s">
        <v>18</v>
      </c>
      <c r="H85" s="25">
        <v>7</v>
      </c>
      <c r="I85" s="32"/>
      <c r="J85" s="33"/>
      <c r="K85" s="30"/>
      <c r="L85" s="34"/>
    </row>
    <row r="86" spans="1:12" x14ac:dyDescent="0.25">
      <c r="A86" s="20" t="s">
        <v>209</v>
      </c>
      <c r="B86" s="21" t="s">
        <v>210</v>
      </c>
      <c r="C86" s="20" t="s">
        <v>211</v>
      </c>
      <c r="D86" s="22">
        <v>2</v>
      </c>
      <c r="E86" s="23">
        <v>1564.73</v>
      </c>
      <c r="F86" s="23">
        <v>1564.73</v>
      </c>
      <c r="G86" s="24" t="s">
        <v>18</v>
      </c>
      <c r="H86" s="25">
        <v>7</v>
      </c>
      <c r="I86" s="32"/>
      <c r="J86" s="33"/>
      <c r="K86" s="30"/>
      <c r="L86" s="34"/>
    </row>
    <row r="87" spans="1:12" x14ac:dyDescent="0.25">
      <c r="A87" s="20" t="s">
        <v>86</v>
      </c>
      <c r="B87" s="21" t="s">
        <v>212</v>
      </c>
      <c r="C87" s="20" t="s">
        <v>213</v>
      </c>
      <c r="D87" s="22">
        <v>2</v>
      </c>
      <c r="E87" s="23">
        <v>3434.61</v>
      </c>
      <c r="F87" s="23">
        <v>3434.61</v>
      </c>
      <c r="G87" s="24" t="s">
        <v>18</v>
      </c>
      <c r="H87" s="25">
        <v>7</v>
      </c>
      <c r="I87" s="32"/>
      <c r="J87" s="33"/>
      <c r="K87" s="30"/>
      <c r="L87" s="34"/>
    </row>
    <row r="88" spans="1:12" x14ac:dyDescent="0.25">
      <c r="A88" s="20" t="s">
        <v>214</v>
      </c>
      <c r="B88" s="21" t="s">
        <v>215</v>
      </c>
      <c r="C88" s="20" t="s">
        <v>216</v>
      </c>
      <c r="D88" s="22">
        <v>2</v>
      </c>
      <c r="E88" s="23">
        <v>3876.25</v>
      </c>
      <c r="F88" s="23">
        <v>3876.25</v>
      </c>
      <c r="G88" s="24" t="s">
        <v>18</v>
      </c>
      <c r="H88" s="25">
        <v>7</v>
      </c>
      <c r="I88" s="32"/>
      <c r="J88" s="33"/>
      <c r="K88" s="30"/>
      <c r="L88" s="34"/>
    </row>
    <row r="89" spans="1:12" x14ac:dyDescent="0.25">
      <c r="A89" s="20" t="s">
        <v>217</v>
      </c>
      <c r="B89" s="21" t="s">
        <v>218</v>
      </c>
      <c r="C89" s="20" t="s">
        <v>219</v>
      </c>
      <c r="D89" s="22">
        <v>2</v>
      </c>
      <c r="E89" s="23">
        <v>1068.3900000000001</v>
      </c>
      <c r="F89" s="23">
        <v>1068.3900000000001</v>
      </c>
      <c r="G89" s="24" t="s">
        <v>18</v>
      </c>
      <c r="H89" s="25">
        <v>7</v>
      </c>
      <c r="I89" s="32"/>
      <c r="J89" s="33"/>
      <c r="K89" s="30"/>
      <c r="L89" s="34"/>
    </row>
    <row r="90" spans="1:12" x14ac:dyDescent="0.25">
      <c r="A90" s="20" t="s">
        <v>220</v>
      </c>
      <c r="B90" s="21" t="s">
        <v>221</v>
      </c>
      <c r="C90" s="20" t="s">
        <v>222</v>
      </c>
      <c r="D90" s="22">
        <v>2</v>
      </c>
      <c r="E90" s="23">
        <v>2296.34</v>
      </c>
      <c r="F90" s="23">
        <v>2296.34</v>
      </c>
      <c r="G90" s="24" t="s">
        <v>50</v>
      </c>
      <c r="H90" s="25">
        <v>7</v>
      </c>
      <c r="I90" s="32"/>
      <c r="J90" s="33"/>
      <c r="K90" s="30"/>
      <c r="L90" s="34"/>
    </row>
    <row r="91" spans="1:12" x14ac:dyDescent="0.25">
      <c r="A91" s="20" t="s">
        <v>220</v>
      </c>
      <c r="B91" s="21" t="s">
        <v>223</v>
      </c>
      <c r="C91" s="20" t="s">
        <v>224</v>
      </c>
      <c r="D91" s="22">
        <v>2</v>
      </c>
      <c r="E91" s="23">
        <v>2321.79</v>
      </c>
      <c r="F91" s="23">
        <v>2321.79</v>
      </c>
      <c r="G91" s="24" t="s">
        <v>50</v>
      </c>
      <c r="H91" s="25">
        <v>7</v>
      </c>
      <c r="I91" s="32"/>
      <c r="J91" s="33"/>
      <c r="K91" s="30"/>
      <c r="L91" s="34"/>
    </row>
    <row r="92" spans="1:12" x14ac:dyDescent="0.25">
      <c r="A92" s="20" t="s">
        <v>95</v>
      </c>
      <c r="B92" s="21" t="s">
        <v>225</v>
      </c>
      <c r="C92" s="20" t="s">
        <v>97</v>
      </c>
      <c r="D92" s="22">
        <v>2</v>
      </c>
      <c r="E92" s="26">
        <v>955.03</v>
      </c>
      <c r="F92" s="26">
        <v>955.03</v>
      </c>
      <c r="G92" s="24" t="s">
        <v>38</v>
      </c>
      <c r="H92" s="25">
        <v>7</v>
      </c>
      <c r="I92" s="32"/>
      <c r="J92" s="33"/>
      <c r="K92" s="30"/>
      <c r="L92" s="34"/>
    </row>
    <row r="93" spans="1:12" x14ac:dyDescent="0.25">
      <c r="A93" s="20" t="s">
        <v>17</v>
      </c>
      <c r="B93" s="21" t="s">
        <v>226</v>
      </c>
      <c r="C93" s="20" t="s">
        <v>79</v>
      </c>
      <c r="D93" s="22">
        <v>2</v>
      </c>
      <c r="E93" s="23">
        <v>1426.99</v>
      </c>
      <c r="F93" s="23">
        <v>2853.98</v>
      </c>
      <c r="G93" s="25" t="s">
        <v>18</v>
      </c>
      <c r="H93" s="25">
        <v>7</v>
      </c>
      <c r="I93" s="32"/>
      <c r="J93" s="33"/>
      <c r="K93" s="30"/>
      <c r="L93" s="34"/>
    </row>
    <row r="94" spans="1:12" x14ac:dyDescent="0.25">
      <c r="A94" s="20" t="s">
        <v>227</v>
      </c>
      <c r="B94" s="21" t="s">
        <v>228</v>
      </c>
      <c r="C94" s="20" t="s">
        <v>229</v>
      </c>
      <c r="D94" s="22">
        <v>2</v>
      </c>
      <c r="E94" s="23">
        <v>1859.64</v>
      </c>
      <c r="F94" s="23">
        <v>1859.64</v>
      </c>
      <c r="G94" s="24" t="s">
        <v>18</v>
      </c>
      <c r="H94" s="25">
        <v>7</v>
      </c>
      <c r="I94" s="32"/>
      <c r="J94" s="33"/>
      <c r="K94" s="30"/>
      <c r="L94" s="34"/>
    </row>
    <row r="95" spans="1:12" x14ac:dyDescent="0.25">
      <c r="A95" s="20" t="s">
        <v>227</v>
      </c>
      <c r="B95" s="21" t="s">
        <v>228</v>
      </c>
      <c r="C95" s="20" t="s">
        <v>229</v>
      </c>
      <c r="D95" s="22">
        <v>2</v>
      </c>
      <c r="E95" s="23">
        <v>1859.64</v>
      </c>
      <c r="F95" s="23">
        <v>1859.64</v>
      </c>
      <c r="G95" s="24" t="s">
        <v>18</v>
      </c>
      <c r="H95" s="25">
        <v>7</v>
      </c>
      <c r="I95" s="32"/>
      <c r="J95" s="33"/>
      <c r="K95" s="30"/>
      <c r="L95" s="34"/>
    </row>
    <row r="96" spans="1:12" x14ac:dyDescent="0.25">
      <c r="A96" s="20" t="s">
        <v>227</v>
      </c>
      <c r="B96" s="21" t="s">
        <v>228</v>
      </c>
      <c r="C96" s="20" t="s">
        <v>229</v>
      </c>
      <c r="D96" s="22">
        <v>2</v>
      </c>
      <c r="E96" s="23">
        <v>1906.45</v>
      </c>
      <c r="F96" s="23">
        <v>1906.45</v>
      </c>
      <c r="G96" s="24" t="s">
        <v>18</v>
      </c>
      <c r="H96" s="25">
        <v>7</v>
      </c>
      <c r="I96" s="32"/>
      <c r="J96" s="33"/>
      <c r="K96" s="30"/>
      <c r="L96" s="34"/>
    </row>
    <row r="97" spans="1:12" x14ac:dyDescent="0.25">
      <c r="A97" s="20" t="s">
        <v>227</v>
      </c>
      <c r="B97" s="21" t="s">
        <v>230</v>
      </c>
      <c r="C97" s="20" t="s">
        <v>231</v>
      </c>
      <c r="D97" s="22">
        <v>2</v>
      </c>
      <c r="E97" s="23">
        <v>2311.3200000000002</v>
      </c>
      <c r="F97" s="23">
        <v>2311.3200000000002</v>
      </c>
      <c r="G97" s="24" t="s">
        <v>18</v>
      </c>
      <c r="H97" s="25">
        <v>7</v>
      </c>
      <c r="I97" s="32"/>
      <c r="J97" s="33"/>
      <c r="K97" s="30"/>
      <c r="L97" s="34"/>
    </row>
    <row r="98" spans="1:12" x14ac:dyDescent="0.25">
      <c r="A98" s="20" t="s">
        <v>232</v>
      </c>
      <c r="B98" s="21" t="s">
        <v>233</v>
      </c>
      <c r="C98" s="20" t="s">
        <v>234</v>
      </c>
      <c r="D98" s="22">
        <v>2</v>
      </c>
      <c r="E98" s="23">
        <v>1183.75</v>
      </c>
      <c r="F98" s="23">
        <v>1183.75</v>
      </c>
      <c r="G98" s="24" t="s">
        <v>50</v>
      </c>
      <c r="H98" s="25">
        <v>7</v>
      </c>
      <c r="I98" s="32"/>
      <c r="J98" s="33"/>
      <c r="K98" s="30"/>
      <c r="L98" s="34"/>
    </row>
    <row r="99" spans="1:12" x14ac:dyDescent="0.25">
      <c r="A99" s="20" t="s">
        <v>232</v>
      </c>
      <c r="B99" s="21" t="s">
        <v>235</v>
      </c>
      <c r="C99" s="20" t="s">
        <v>236</v>
      </c>
      <c r="D99" s="22">
        <v>2</v>
      </c>
      <c r="E99" s="26">
        <v>822.28</v>
      </c>
      <c r="F99" s="23">
        <v>1644.56</v>
      </c>
      <c r="G99" s="24" t="s">
        <v>50</v>
      </c>
      <c r="H99" s="25">
        <v>7</v>
      </c>
      <c r="I99" s="32"/>
      <c r="J99" s="33"/>
      <c r="K99" s="30"/>
      <c r="L99" s="34"/>
    </row>
    <row r="100" spans="1:12" x14ac:dyDescent="0.25">
      <c r="A100" s="20" t="s">
        <v>125</v>
      </c>
      <c r="B100" s="21" t="s">
        <v>237</v>
      </c>
      <c r="C100" s="20" t="s">
        <v>127</v>
      </c>
      <c r="D100" s="22">
        <v>2</v>
      </c>
      <c r="E100" s="23">
        <v>13771.08</v>
      </c>
      <c r="F100" s="23">
        <v>13771.08</v>
      </c>
      <c r="G100" s="24" t="s">
        <v>18</v>
      </c>
      <c r="H100" s="25">
        <v>7</v>
      </c>
      <c r="I100" s="32"/>
      <c r="J100" s="33"/>
      <c r="K100" s="30"/>
      <c r="L100" s="34"/>
    </row>
    <row r="101" spans="1:12" x14ac:dyDescent="0.25">
      <c r="A101" s="20" t="s">
        <v>130</v>
      </c>
      <c r="B101" s="21" t="s">
        <v>238</v>
      </c>
      <c r="C101" s="20" t="s">
        <v>239</v>
      </c>
      <c r="D101" s="22">
        <v>2</v>
      </c>
      <c r="E101" s="23">
        <v>6436.79</v>
      </c>
      <c r="F101" s="23">
        <v>6436.79</v>
      </c>
      <c r="G101" s="25" t="s">
        <v>18</v>
      </c>
      <c r="H101" s="25">
        <v>7</v>
      </c>
      <c r="I101" s="32"/>
      <c r="J101" s="33"/>
      <c r="K101" s="30"/>
      <c r="L101" s="34"/>
    </row>
    <row r="102" spans="1:12" x14ac:dyDescent="0.25">
      <c r="A102" s="20" t="s">
        <v>240</v>
      </c>
      <c r="B102" s="21" t="s">
        <v>241</v>
      </c>
      <c r="C102" s="20" t="s">
        <v>242</v>
      </c>
      <c r="D102" s="22">
        <v>2</v>
      </c>
      <c r="E102" s="23">
        <v>1730.97</v>
      </c>
      <c r="F102" s="23">
        <v>1730.97</v>
      </c>
      <c r="G102" s="24" t="s">
        <v>18</v>
      </c>
      <c r="H102" s="25">
        <v>7</v>
      </c>
      <c r="I102" s="32"/>
      <c r="J102" s="33"/>
      <c r="K102" s="30"/>
      <c r="L102" s="34"/>
    </row>
    <row r="103" spans="1:12" x14ac:dyDescent="0.25">
      <c r="A103" s="20" t="s">
        <v>159</v>
      </c>
      <c r="B103" s="21" t="s">
        <v>162</v>
      </c>
      <c r="C103" s="20" t="s">
        <v>161</v>
      </c>
      <c r="D103" s="22">
        <v>2</v>
      </c>
      <c r="E103" s="23">
        <v>1627.78</v>
      </c>
      <c r="F103" s="23">
        <v>1627.78</v>
      </c>
      <c r="G103" s="24" t="s">
        <v>50</v>
      </c>
      <c r="H103" s="25">
        <v>7</v>
      </c>
      <c r="I103" s="32"/>
      <c r="J103" s="33"/>
      <c r="K103" s="30"/>
      <c r="L103" s="34"/>
    </row>
    <row r="104" spans="1:12" x14ac:dyDescent="0.25">
      <c r="A104" s="20" t="s">
        <v>167</v>
      </c>
      <c r="B104" s="21" t="s">
        <v>243</v>
      </c>
      <c r="C104" s="20" t="s">
        <v>14</v>
      </c>
      <c r="D104" s="22">
        <v>2</v>
      </c>
      <c r="E104" s="23">
        <v>1597.55</v>
      </c>
      <c r="F104" s="23">
        <v>1597.55</v>
      </c>
      <c r="G104" s="24" t="s">
        <v>18</v>
      </c>
      <c r="H104" s="25">
        <v>7</v>
      </c>
      <c r="I104" s="32"/>
      <c r="J104" s="33"/>
      <c r="K104" s="30"/>
      <c r="L104" s="34"/>
    </row>
    <row r="105" spans="1:12" x14ac:dyDescent="0.25">
      <c r="A105" s="20" t="s">
        <v>167</v>
      </c>
      <c r="B105" s="21" t="s">
        <v>244</v>
      </c>
      <c r="C105" s="20" t="s">
        <v>14</v>
      </c>
      <c r="D105" s="22">
        <v>2</v>
      </c>
      <c r="E105" s="23">
        <v>1184.0999999999999</v>
      </c>
      <c r="F105" s="23">
        <v>1184.0999999999999</v>
      </c>
      <c r="G105" s="24" t="s">
        <v>38</v>
      </c>
      <c r="H105" s="25">
        <v>7</v>
      </c>
      <c r="I105" s="32"/>
      <c r="J105" s="33"/>
      <c r="K105" s="30"/>
      <c r="L105" s="34"/>
    </row>
    <row r="106" spans="1:12" x14ac:dyDescent="0.25">
      <c r="A106" s="20" t="s">
        <v>245</v>
      </c>
      <c r="B106" s="21" t="s">
        <v>246</v>
      </c>
      <c r="C106" s="20" t="s">
        <v>247</v>
      </c>
      <c r="D106" s="22">
        <v>2</v>
      </c>
      <c r="E106" s="23">
        <v>1533.38</v>
      </c>
      <c r="F106" s="23">
        <v>3066.76</v>
      </c>
      <c r="G106" s="24" t="s">
        <v>18</v>
      </c>
      <c r="H106" s="25">
        <v>7</v>
      </c>
      <c r="I106" s="32"/>
      <c r="J106" s="33"/>
      <c r="K106" s="30"/>
      <c r="L106" s="34"/>
    </row>
    <row r="107" spans="1:12" x14ac:dyDescent="0.25">
      <c r="A107" s="20" t="s">
        <v>245</v>
      </c>
      <c r="B107" s="21" t="s">
        <v>248</v>
      </c>
      <c r="C107" s="20" t="s">
        <v>249</v>
      </c>
      <c r="D107" s="22">
        <v>2</v>
      </c>
      <c r="E107" s="26">
        <v>195.5</v>
      </c>
      <c r="F107" s="26">
        <v>195.5</v>
      </c>
      <c r="G107" s="25" t="s">
        <v>18</v>
      </c>
      <c r="H107" s="25">
        <v>7</v>
      </c>
      <c r="I107" s="32"/>
      <c r="J107" s="33"/>
      <c r="K107" s="30"/>
      <c r="L107" s="34"/>
    </row>
    <row r="108" spans="1:12" x14ac:dyDescent="0.25">
      <c r="A108" s="20" t="s">
        <v>177</v>
      </c>
      <c r="B108" s="21" t="s">
        <v>250</v>
      </c>
      <c r="C108" s="20" t="s">
        <v>251</v>
      </c>
      <c r="D108" s="22">
        <v>2</v>
      </c>
      <c r="E108" s="23">
        <v>1480.93</v>
      </c>
      <c r="F108" s="23">
        <v>1480.93</v>
      </c>
      <c r="G108" s="24" t="s">
        <v>38</v>
      </c>
      <c r="H108" s="25">
        <v>7</v>
      </c>
      <c r="I108" s="32"/>
      <c r="J108" s="33"/>
      <c r="K108" s="30"/>
      <c r="L108" s="34"/>
    </row>
    <row r="109" spans="1:12" x14ac:dyDescent="0.25">
      <c r="A109" s="20" t="s">
        <v>177</v>
      </c>
      <c r="B109" s="21" t="s">
        <v>252</v>
      </c>
      <c r="C109" s="20" t="s">
        <v>253</v>
      </c>
      <c r="D109" s="22">
        <v>2</v>
      </c>
      <c r="E109" s="23">
        <v>1508.96</v>
      </c>
      <c r="F109" s="23">
        <v>1508.96</v>
      </c>
      <c r="G109" s="24" t="s">
        <v>50</v>
      </c>
      <c r="H109" s="25">
        <v>7</v>
      </c>
      <c r="I109" s="32"/>
      <c r="J109" s="33"/>
      <c r="K109" s="30"/>
      <c r="L109" s="34"/>
    </row>
    <row r="110" spans="1:12" x14ac:dyDescent="0.25">
      <c r="A110" s="20" t="s">
        <v>177</v>
      </c>
      <c r="B110" s="21" t="s">
        <v>254</v>
      </c>
      <c r="C110" s="20" t="s">
        <v>255</v>
      </c>
      <c r="D110" s="22">
        <v>2</v>
      </c>
      <c r="E110" s="23">
        <v>2598.6799999999998</v>
      </c>
      <c r="F110" s="23">
        <v>2598.6799999999998</v>
      </c>
      <c r="G110" s="25" t="s">
        <v>38</v>
      </c>
      <c r="H110" s="25">
        <v>7</v>
      </c>
      <c r="I110" s="32"/>
      <c r="J110" s="33"/>
      <c r="K110" s="30"/>
      <c r="L110" s="34"/>
    </row>
    <row r="111" spans="1:12" x14ac:dyDescent="0.25">
      <c r="A111" s="20" t="s">
        <v>256</v>
      </c>
      <c r="B111" s="21" t="s">
        <v>257</v>
      </c>
      <c r="C111" s="20" t="s">
        <v>41</v>
      </c>
      <c r="D111" s="22">
        <v>2</v>
      </c>
      <c r="E111" s="26">
        <v>432.36</v>
      </c>
      <c r="F111" s="26">
        <v>864.72</v>
      </c>
      <c r="G111" s="25" t="s">
        <v>18</v>
      </c>
      <c r="H111" s="25">
        <v>7</v>
      </c>
      <c r="I111" s="32"/>
      <c r="J111" s="33"/>
      <c r="K111" s="30"/>
      <c r="L111" s="34"/>
    </row>
    <row r="112" spans="1:12" x14ac:dyDescent="0.25">
      <c r="A112" s="20" t="s">
        <v>13</v>
      </c>
      <c r="B112" s="21" t="s">
        <v>258</v>
      </c>
      <c r="C112" s="20" t="s">
        <v>14</v>
      </c>
      <c r="D112" s="22">
        <v>2</v>
      </c>
      <c r="E112" s="23">
        <v>9366.25</v>
      </c>
      <c r="F112" s="23">
        <v>9366.25</v>
      </c>
      <c r="G112" s="24" t="s">
        <v>18</v>
      </c>
      <c r="H112" s="25">
        <v>7</v>
      </c>
      <c r="I112" s="32"/>
      <c r="J112" s="33"/>
      <c r="K112" s="30"/>
      <c r="L112" s="34"/>
    </row>
    <row r="113" spans="1:12" x14ac:dyDescent="0.25">
      <c r="A113" s="20" t="s">
        <v>13</v>
      </c>
      <c r="B113" s="21" t="s">
        <v>259</v>
      </c>
      <c r="C113" s="20" t="s">
        <v>14</v>
      </c>
      <c r="D113" s="22">
        <v>2</v>
      </c>
      <c r="E113" s="23">
        <v>5535.81</v>
      </c>
      <c r="F113" s="23">
        <v>5535.81</v>
      </c>
      <c r="G113" s="24" t="s">
        <v>18</v>
      </c>
      <c r="H113" s="25">
        <v>7</v>
      </c>
      <c r="I113" s="32"/>
      <c r="J113" s="33"/>
      <c r="K113" s="30"/>
      <c r="L113" s="34"/>
    </row>
    <row r="114" spans="1:12" x14ac:dyDescent="0.25">
      <c r="A114" s="14" t="s">
        <v>260</v>
      </c>
      <c r="B114" s="15" t="s">
        <v>261</v>
      </c>
      <c r="C114" s="16" t="s">
        <v>262</v>
      </c>
      <c r="D114" s="22">
        <v>2</v>
      </c>
      <c r="E114" s="18">
        <v>827.9</v>
      </c>
      <c r="F114" s="18">
        <v>827.9</v>
      </c>
      <c r="G114" s="17" t="s">
        <v>18</v>
      </c>
      <c r="H114" s="25">
        <v>9</v>
      </c>
      <c r="I114" s="32"/>
      <c r="J114" s="33"/>
      <c r="K114" s="30"/>
      <c r="L114" s="34"/>
    </row>
    <row r="115" spans="1:12" x14ac:dyDescent="0.25">
      <c r="A115" s="14" t="s">
        <v>20</v>
      </c>
      <c r="B115" s="15" t="s">
        <v>263</v>
      </c>
      <c r="C115" s="16" t="s">
        <v>264</v>
      </c>
      <c r="D115" s="22">
        <v>2</v>
      </c>
      <c r="E115" s="18">
        <v>7563.49</v>
      </c>
      <c r="F115" s="18">
        <v>7563.49</v>
      </c>
      <c r="G115" s="17" t="s">
        <v>18</v>
      </c>
      <c r="H115" s="25">
        <v>9</v>
      </c>
      <c r="I115" s="32"/>
      <c r="J115" s="33"/>
      <c r="K115" s="30"/>
      <c r="L115" s="34"/>
    </row>
    <row r="116" spans="1:12" x14ac:dyDescent="0.25">
      <c r="A116" s="14" t="s">
        <v>265</v>
      </c>
      <c r="B116" s="15" t="s">
        <v>266</v>
      </c>
      <c r="C116" s="16" t="s">
        <v>267</v>
      </c>
      <c r="D116" s="22">
        <v>2</v>
      </c>
      <c r="E116" s="18">
        <v>1865.19</v>
      </c>
      <c r="F116" s="18">
        <v>1865.19</v>
      </c>
      <c r="G116" s="17" t="s">
        <v>18</v>
      </c>
      <c r="H116" s="25">
        <v>9</v>
      </c>
      <c r="I116" s="32"/>
      <c r="J116" s="33"/>
      <c r="K116" s="30"/>
      <c r="L116" s="34"/>
    </row>
    <row r="117" spans="1:12" x14ac:dyDescent="0.25">
      <c r="A117" s="14" t="s">
        <v>268</v>
      </c>
      <c r="B117" s="15" t="s">
        <v>269</v>
      </c>
      <c r="C117" s="16" t="s">
        <v>270</v>
      </c>
      <c r="D117" s="22">
        <v>2</v>
      </c>
      <c r="E117" s="18">
        <v>22897.43</v>
      </c>
      <c r="F117" s="18">
        <v>45794.86</v>
      </c>
      <c r="G117" s="17" t="s">
        <v>18</v>
      </c>
      <c r="H117" s="25">
        <v>9</v>
      </c>
      <c r="I117" s="32"/>
      <c r="J117" s="33"/>
      <c r="K117" s="30"/>
      <c r="L117" s="34"/>
    </row>
    <row r="118" spans="1:12" x14ac:dyDescent="0.25">
      <c r="A118" s="14" t="s">
        <v>271</v>
      </c>
      <c r="B118" s="15" t="s">
        <v>272</v>
      </c>
      <c r="C118" s="16" t="s">
        <v>273</v>
      </c>
      <c r="D118" s="22">
        <v>2</v>
      </c>
      <c r="E118" s="18">
        <v>1445.32</v>
      </c>
      <c r="F118" s="18">
        <v>1445.32</v>
      </c>
      <c r="G118" s="17" t="s">
        <v>18</v>
      </c>
      <c r="H118" s="25">
        <v>9</v>
      </c>
      <c r="I118" s="32"/>
      <c r="J118" s="33"/>
      <c r="K118" s="30"/>
      <c r="L118" s="34"/>
    </row>
    <row r="119" spans="1:12" x14ac:dyDescent="0.25">
      <c r="A119" s="14" t="s">
        <v>63</v>
      </c>
      <c r="B119" s="15" t="s">
        <v>274</v>
      </c>
      <c r="C119" s="16" t="s">
        <v>275</v>
      </c>
      <c r="D119" s="22">
        <v>2</v>
      </c>
      <c r="E119" s="18">
        <v>121.51</v>
      </c>
      <c r="F119" s="18">
        <v>607.54999999999995</v>
      </c>
      <c r="G119" s="17" t="s">
        <v>18</v>
      </c>
      <c r="H119" s="25">
        <v>9</v>
      </c>
      <c r="I119" s="32"/>
      <c r="J119" s="33"/>
      <c r="K119" s="30"/>
      <c r="L119" s="34"/>
    </row>
    <row r="120" spans="1:12" x14ac:dyDescent="0.25">
      <c r="A120" s="14" t="s">
        <v>260</v>
      </c>
      <c r="B120" s="15" t="s">
        <v>276</v>
      </c>
      <c r="C120" s="16" t="s">
        <v>277</v>
      </c>
      <c r="D120" s="22">
        <v>2</v>
      </c>
      <c r="E120" s="18">
        <v>1389.8</v>
      </c>
      <c r="F120" s="18">
        <v>1389.8</v>
      </c>
      <c r="G120" s="17" t="s">
        <v>18</v>
      </c>
      <c r="H120" s="25">
        <v>9</v>
      </c>
      <c r="I120" s="32"/>
      <c r="J120" s="33"/>
      <c r="K120" s="30"/>
      <c r="L120" s="34"/>
    </row>
    <row r="121" spans="1:12" x14ac:dyDescent="0.25">
      <c r="A121" s="14" t="s">
        <v>278</v>
      </c>
      <c r="B121" s="15" t="s">
        <v>279</v>
      </c>
      <c r="C121" s="16" t="s">
        <v>280</v>
      </c>
      <c r="D121" s="22">
        <v>2</v>
      </c>
      <c r="E121" s="18">
        <v>4917.9799999999996</v>
      </c>
      <c r="F121" s="18">
        <v>4917.9799999999996</v>
      </c>
      <c r="G121" s="17" t="s">
        <v>18</v>
      </c>
      <c r="H121" s="25">
        <v>9</v>
      </c>
      <c r="I121" s="32"/>
      <c r="J121" s="33"/>
      <c r="K121" s="30"/>
      <c r="L121" s="34"/>
    </row>
    <row r="122" spans="1:12" x14ac:dyDescent="0.25">
      <c r="A122" s="14" t="s">
        <v>281</v>
      </c>
      <c r="B122" s="15" t="s">
        <v>282</v>
      </c>
      <c r="C122" s="16" t="s">
        <v>283</v>
      </c>
      <c r="D122" s="22">
        <v>2</v>
      </c>
      <c r="E122" s="18">
        <v>1080.49</v>
      </c>
      <c r="F122" s="18">
        <v>2160.98</v>
      </c>
      <c r="G122" s="17" t="s">
        <v>18</v>
      </c>
      <c r="H122" s="25">
        <v>9</v>
      </c>
      <c r="I122" s="32"/>
      <c r="J122" s="33"/>
      <c r="K122" s="30"/>
      <c r="L122" s="34"/>
    </row>
    <row r="123" spans="1:12" x14ac:dyDescent="0.25">
      <c r="A123" s="14" t="s">
        <v>130</v>
      </c>
      <c r="B123" s="15" t="s">
        <v>284</v>
      </c>
      <c r="C123" s="16" t="s">
        <v>285</v>
      </c>
      <c r="D123" s="22">
        <v>2</v>
      </c>
      <c r="E123" s="18">
        <v>924.52</v>
      </c>
      <c r="F123" s="18">
        <v>924.52</v>
      </c>
      <c r="G123" s="17" t="s">
        <v>18</v>
      </c>
      <c r="H123" s="25">
        <v>9</v>
      </c>
      <c r="I123" s="32"/>
      <c r="J123" s="33"/>
      <c r="K123" s="30"/>
      <c r="L123" s="34"/>
    </row>
    <row r="124" spans="1:12" x14ac:dyDescent="0.25">
      <c r="A124" s="14" t="s">
        <v>286</v>
      </c>
      <c r="B124" s="15" t="s">
        <v>287</v>
      </c>
      <c r="C124" s="16" t="s">
        <v>288</v>
      </c>
      <c r="D124" s="22">
        <v>2</v>
      </c>
      <c r="E124" s="18">
        <v>1601.22</v>
      </c>
      <c r="F124" s="18">
        <v>1601.22</v>
      </c>
      <c r="G124" s="17" t="s">
        <v>18</v>
      </c>
      <c r="H124" s="25">
        <v>9</v>
      </c>
      <c r="I124" s="32"/>
      <c r="J124" s="33"/>
      <c r="K124" s="30"/>
      <c r="L124" s="34"/>
    </row>
    <row r="125" spans="1:12" x14ac:dyDescent="0.25">
      <c r="A125" s="14" t="s">
        <v>289</v>
      </c>
      <c r="B125" s="15" t="s">
        <v>290</v>
      </c>
      <c r="C125" s="16" t="s">
        <v>291</v>
      </c>
      <c r="D125" s="22">
        <v>2</v>
      </c>
      <c r="E125" s="18">
        <v>3204.53</v>
      </c>
      <c r="F125" s="18">
        <v>3204.53</v>
      </c>
      <c r="G125" s="17" t="s">
        <v>18</v>
      </c>
      <c r="H125" s="25">
        <v>9</v>
      </c>
      <c r="I125" s="32"/>
      <c r="J125" s="33"/>
      <c r="K125" s="30"/>
      <c r="L125" s="34"/>
    </row>
    <row r="126" spans="1:12" x14ac:dyDescent="0.25">
      <c r="A126" s="14" t="s">
        <v>268</v>
      </c>
      <c r="B126" s="15" t="s">
        <v>292</v>
      </c>
      <c r="C126" s="16" t="s">
        <v>270</v>
      </c>
      <c r="D126" s="22">
        <v>2</v>
      </c>
      <c r="E126" s="18">
        <v>5592.82</v>
      </c>
      <c r="F126" s="18">
        <v>11185.64</v>
      </c>
      <c r="G126" s="17" t="s">
        <v>18</v>
      </c>
      <c r="H126" s="25">
        <v>9</v>
      </c>
      <c r="I126" s="32"/>
      <c r="J126" s="33"/>
      <c r="K126" s="30"/>
      <c r="L126" s="34"/>
    </row>
    <row r="127" spans="1:12" x14ac:dyDescent="0.25">
      <c r="A127" s="14" t="s">
        <v>63</v>
      </c>
      <c r="B127" s="15" t="s">
        <v>293</v>
      </c>
      <c r="C127" s="16" t="s">
        <v>294</v>
      </c>
      <c r="D127" s="22">
        <v>2</v>
      </c>
      <c r="E127" s="18">
        <v>676.15</v>
      </c>
      <c r="F127" s="18">
        <v>676.15</v>
      </c>
      <c r="G127" s="17" t="s">
        <v>50</v>
      </c>
      <c r="H127" s="25">
        <v>9</v>
      </c>
      <c r="I127" s="32"/>
      <c r="J127" s="33"/>
      <c r="K127" s="30"/>
      <c r="L127" s="34"/>
    </row>
    <row r="128" spans="1:12" x14ac:dyDescent="0.25">
      <c r="A128" s="14" t="s">
        <v>295</v>
      </c>
      <c r="B128" s="15" t="s">
        <v>296</v>
      </c>
      <c r="C128" s="16" t="s">
        <v>297</v>
      </c>
      <c r="D128" s="22">
        <v>2</v>
      </c>
      <c r="E128" s="18">
        <v>1453.42</v>
      </c>
      <c r="F128" s="18">
        <v>1453.42</v>
      </c>
      <c r="G128" s="17" t="s">
        <v>38</v>
      </c>
      <c r="H128" s="25">
        <v>9</v>
      </c>
      <c r="I128" s="32"/>
      <c r="J128" s="33"/>
      <c r="K128" s="30"/>
      <c r="L128" s="34"/>
    </row>
    <row r="129" spans="1:12" x14ac:dyDescent="0.25">
      <c r="A129" s="14" t="s">
        <v>295</v>
      </c>
      <c r="B129" s="15" t="s">
        <v>298</v>
      </c>
      <c r="C129" s="16" t="s">
        <v>299</v>
      </c>
      <c r="D129" s="22">
        <v>2</v>
      </c>
      <c r="E129" s="18">
        <v>1811.88</v>
      </c>
      <c r="F129" s="18">
        <v>5435.64</v>
      </c>
      <c r="G129" s="17" t="s">
        <v>38</v>
      </c>
      <c r="H129" s="25">
        <v>9</v>
      </c>
      <c r="I129" s="32"/>
      <c r="J129" s="33"/>
      <c r="K129" s="30"/>
      <c r="L129" s="34"/>
    </row>
    <row r="130" spans="1:12" x14ac:dyDescent="0.25">
      <c r="A130" s="14" t="s">
        <v>300</v>
      </c>
      <c r="B130" s="15" t="s">
        <v>301</v>
      </c>
      <c r="C130" s="16" t="s">
        <v>302</v>
      </c>
      <c r="D130" s="22">
        <v>2</v>
      </c>
      <c r="E130" s="18">
        <v>3683.91</v>
      </c>
      <c r="F130" s="18">
        <v>3683.91</v>
      </c>
      <c r="G130" s="17" t="s">
        <v>50</v>
      </c>
      <c r="H130" s="25">
        <v>9</v>
      </c>
      <c r="I130" s="32"/>
      <c r="J130" s="33"/>
      <c r="K130" s="30"/>
      <c r="L130" s="34"/>
    </row>
    <row r="131" spans="1:12" x14ac:dyDescent="0.25">
      <c r="A131" s="14" t="s">
        <v>303</v>
      </c>
      <c r="B131" s="15" t="s">
        <v>304</v>
      </c>
      <c r="C131" s="16" t="s">
        <v>305</v>
      </c>
      <c r="D131" s="22">
        <v>2</v>
      </c>
      <c r="E131" s="18">
        <v>969.89</v>
      </c>
      <c r="F131" s="18">
        <v>969.89</v>
      </c>
      <c r="G131" s="17" t="s">
        <v>18</v>
      </c>
      <c r="H131" s="25">
        <v>9</v>
      </c>
      <c r="I131" s="32"/>
      <c r="J131" s="33"/>
      <c r="K131" s="30"/>
      <c r="L131" s="34"/>
    </row>
    <row r="132" spans="1:12" x14ac:dyDescent="0.25">
      <c r="A132" s="14" t="s">
        <v>209</v>
      </c>
      <c r="B132" s="15" t="s">
        <v>210</v>
      </c>
      <c r="C132" s="16" t="s">
        <v>299</v>
      </c>
      <c r="D132" s="22">
        <v>2</v>
      </c>
      <c r="E132" s="18">
        <v>1518.43</v>
      </c>
      <c r="F132" s="18">
        <v>1518.43</v>
      </c>
      <c r="G132" s="17" t="s">
        <v>18</v>
      </c>
      <c r="H132" s="25">
        <v>9</v>
      </c>
      <c r="I132" s="32"/>
      <c r="J132" s="33"/>
      <c r="K132" s="30"/>
      <c r="L132" s="34"/>
    </row>
    <row r="133" spans="1:12" x14ac:dyDescent="0.25">
      <c r="A133" s="14" t="s">
        <v>306</v>
      </c>
      <c r="B133" s="15" t="s">
        <v>307</v>
      </c>
      <c r="C133" s="16" t="s">
        <v>308</v>
      </c>
      <c r="D133" s="22">
        <v>2</v>
      </c>
      <c r="E133" s="18">
        <v>1420.33</v>
      </c>
      <c r="F133" s="18">
        <v>2840.66</v>
      </c>
      <c r="G133" s="17" t="s">
        <v>18</v>
      </c>
      <c r="H133" s="25">
        <v>9</v>
      </c>
      <c r="I133" s="32"/>
      <c r="J133" s="33"/>
      <c r="K133" s="30"/>
      <c r="L133" s="34"/>
    </row>
    <row r="134" spans="1:12" x14ac:dyDescent="0.25">
      <c r="A134" s="14" t="s">
        <v>309</v>
      </c>
      <c r="B134" s="15" t="s">
        <v>310</v>
      </c>
      <c r="C134" s="16" t="s">
        <v>311</v>
      </c>
      <c r="D134" s="22">
        <v>2</v>
      </c>
      <c r="E134" s="18">
        <v>777.03</v>
      </c>
      <c r="F134" s="18">
        <v>777.03</v>
      </c>
      <c r="G134" s="17" t="s">
        <v>18</v>
      </c>
      <c r="H134" s="25">
        <v>9</v>
      </c>
      <c r="I134" s="32"/>
      <c r="J134" s="33"/>
      <c r="K134" s="30"/>
      <c r="L134" s="34"/>
    </row>
    <row r="135" spans="1:12" x14ac:dyDescent="0.25">
      <c r="A135" s="14" t="s">
        <v>312</v>
      </c>
      <c r="B135" s="15" t="s">
        <v>313</v>
      </c>
      <c r="C135" s="16" t="s">
        <v>314</v>
      </c>
      <c r="D135" s="22">
        <v>2</v>
      </c>
      <c r="E135" s="18">
        <v>1361.27</v>
      </c>
      <c r="F135" s="18">
        <v>1361.27</v>
      </c>
      <c r="G135" s="17" t="s">
        <v>18</v>
      </c>
      <c r="H135" s="25">
        <v>9</v>
      </c>
      <c r="I135" s="32"/>
      <c r="J135" s="33"/>
      <c r="K135" s="30"/>
      <c r="L135" s="34"/>
    </row>
    <row r="136" spans="1:12" x14ac:dyDescent="0.25">
      <c r="A136" s="14" t="s">
        <v>303</v>
      </c>
      <c r="B136" s="15" t="s">
        <v>315</v>
      </c>
      <c r="C136" s="16" t="s">
        <v>316</v>
      </c>
      <c r="D136" s="22">
        <v>2</v>
      </c>
      <c r="E136" s="18">
        <v>824</v>
      </c>
      <c r="F136" s="18">
        <v>824</v>
      </c>
      <c r="G136" s="17" t="s">
        <v>317</v>
      </c>
      <c r="H136" s="25">
        <v>9</v>
      </c>
      <c r="I136" s="32"/>
      <c r="J136" s="33"/>
      <c r="K136" s="30"/>
      <c r="L136" s="34"/>
    </row>
    <row r="137" spans="1:12" x14ac:dyDescent="0.25">
      <c r="A137" s="14" t="s">
        <v>318</v>
      </c>
      <c r="B137" s="15" t="s">
        <v>319</v>
      </c>
      <c r="C137" s="16" t="s">
        <v>320</v>
      </c>
      <c r="D137" s="22">
        <v>2</v>
      </c>
      <c r="E137" s="18">
        <v>18804.13</v>
      </c>
      <c r="F137" s="18">
        <v>18804.13</v>
      </c>
      <c r="G137" s="17" t="s">
        <v>18</v>
      </c>
      <c r="H137" s="25">
        <v>9</v>
      </c>
      <c r="I137" s="32"/>
      <c r="J137" s="33"/>
      <c r="K137" s="30"/>
      <c r="L137" s="34"/>
    </row>
    <row r="138" spans="1:12" x14ac:dyDescent="0.25">
      <c r="A138" s="14" t="s">
        <v>318</v>
      </c>
      <c r="B138" s="15" t="s">
        <v>321</v>
      </c>
      <c r="C138" s="16" t="s">
        <v>322</v>
      </c>
      <c r="D138" s="22">
        <v>2</v>
      </c>
      <c r="E138" s="18">
        <v>18804.13</v>
      </c>
      <c r="F138" s="18">
        <v>18804.13</v>
      </c>
      <c r="G138" s="17" t="s">
        <v>18</v>
      </c>
      <c r="H138" s="25">
        <v>9</v>
      </c>
      <c r="I138" s="32"/>
      <c r="J138" s="33"/>
      <c r="K138" s="30"/>
      <c r="L138" s="34"/>
    </row>
    <row r="139" spans="1:12" x14ac:dyDescent="0.25">
      <c r="A139" s="14" t="s">
        <v>323</v>
      </c>
      <c r="B139" s="15" t="s">
        <v>324</v>
      </c>
      <c r="C139" s="16" t="s">
        <v>325</v>
      </c>
      <c r="D139" s="22">
        <v>2</v>
      </c>
      <c r="E139" s="18">
        <v>4302.53</v>
      </c>
      <c r="F139" s="18">
        <v>4302.53</v>
      </c>
      <c r="G139" s="17" t="s">
        <v>18</v>
      </c>
      <c r="H139" s="25">
        <v>9</v>
      </c>
      <c r="I139" s="32"/>
      <c r="J139" s="33"/>
      <c r="K139" s="30"/>
      <c r="L139" s="34"/>
    </row>
    <row r="140" spans="1:12" x14ac:dyDescent="0.25">
      <c r="A140" s="14" t="s">
        <v>326</v>
      </c>
      <c r="B140" s="15" t="s">
        <v>327</v>
      </c>
      <c r="C140" s="16" t="s">
        <v>328</v>
      </c>
      <c r="D140" s="22">
        <v>2</v>
      </c>
      <c r="E140" s="18">
        <v>76.760000000000005</v>
      </c>
      <c r="F140" s="18">
        <v>460.56</v>
      </c>
      <c r="G140" s="17" t="s">
        <v>18</v>
      </c>
      <c r="H140" s="25">
        <v>9</v>
      </c>
      <c r="I140" s="32"/>
      <c r="J140" s="33"/>
      <c r="K140" s="30"/>
      <c r="L140" s="34"/>
    </row>
    <row r="141" spans="1:12" x14ac:dyDescent="0.25">
      <c r="A141" s="14" t="s">
        <v>306</v>
      </c>
      <c r="B141" s="15" t="s">
        <v>329</v>
      </c>
      <c r="C141" s="16" t="s">
        <v>330</v>
      </c>
      <c r="D141" s="22">
        <v>2</v>
      </c>
      <c r="E141" s="18">
        <v>3340.23</v>
      </c>
      <c r="F141" s="18">
        <v>3340.23</v>
      </c>
      <c r="G141" s="17" t="s">
        <v>18</v>
      </c>
      <c r="H141" s="25">
        <v>9</v>
      </c>
      <c r="I141" s="32"/>
      <c r="J141" s="33"/>
      <c r="K141" s="30"/>
      <c r="L141" s="34"/>
    </row>
    <row r="142" spans="1:12" x14ac:dyDescent="0.25">
      <c r="A142" s="14" t="s">
        <v>331</v>
      </c>
      <c r="B142" s="15" t="s">
        <v>332</v>
      </c>
      <c r="C142" s="16" t="s">
        <v>333</v>
      </c>
      <c r="D142" s="22">
        <v>2</v>
      </c>
      <c r="E142" s="18">
        <v>797.97</v>
      </c>
      <c r="F142" s="18">
        <v>797.97</v>
      </c>
      <c r="G142" s="17" t="s">
        <v>18</v>
      </c>
      <c r="H142" s="25">
        <v>9</v>
      </c>
      <c r="I142" s="32"/>
      <c r="J142" s="33"/>
      <c r="K142" s="30"/>
      <c r="L142" s="34"/>
    </row>
    <row r="143" spans="1:12" x14ac:dyDescent="0.25">
      <c r="A143" s="14" t="s">
        <v>260</v>
      </c>
      <c r="B143" s="15" t="s">
        <v>334</v>
      </c>
      <c r="C143" s="16" t="s">
        <v>335</v>
      </c>
      <c r="D143" s="22">
        <v>2</v>
      </c>
      <c r="E143" s="18">
        <v>901.44</v>
      </c>
      <c r="F143" s="18">
        <v>901.44</v>
      </c>
      <c r="G143" s="17" t="s">
        <v>18</v>
      </c>
      <c r="H143" s="25">
        <v>9</v>
      </c>
      <c r="I143" s="32"/>
      <c r="J143" s="33"/>
      <c r="K143" s="30"/>
      <c r="L143" s="34"/>
    </row>
    <row r="144" spans="1:12" x14ac:dyDescent="0.25">
      <c r="A144" s="14" t="s">
        <v>336</v>
      </c>
      <c r="B144" s="15" t="s">
        <v>337</v>
      </c>
      <c r="C144" s="16" t="s">
        <v>338</v>
      </c>
      <c r="D144" s="22">
        <v>2</v>
      </c>
      <c r="E144" s="18">
        <v>1795.19</v>
      </c>
      <c r="F144" s="18">
        <v>1795.19</v>
      </c>
      <c r="G144" s="17" t="s">
        <v>38</v>
      </c>
      <c r="H144" s="25">
        <v>9</v>
      </c>
      <c r="I144" s="32"/>
      <c r="J144" s="33"/>
      <c r="K144" s="30"/>
      <c r="L144" s="34"/>
    </row>
    <row r="145" spans="1:12" x14ac:dyDescent="0.25">
      <c r="A145" s="14" t="s">
        <v>303</v>
      </c>
      <c r="B145" s="15" t="s">
        <v>40</v>
      </c>
      <c r="C145" s="16" t="s">
        <v>339</v>
      </c>
      <c r="D145" s="22">
        <v>2</v>
      </c>
      <c r="E145" s="18">
        <v>690.5</v>
      </c>
      <c r="F145" s="18">
        <v>690.5</v>
      </c>
      <c r="G145" s="17" t="s">
        <v>18</v>
      </c>
      <c r="H145" s="25">
        <v>9</v>
      </c>
      <c r="I145" s="32"/>
      <c r="J145" s="33"/>
      <c r="K145" s="30"/>
      <c r="L145" s="34"/>
    </row>
    <row r="146" spans="1:12" x14ac:dyDescent="0.25">
      <c r="A146" s="14" t="s">
        <v>278</v>
      </c>
      <c r="B146" s="15" t="s">
        <v>279</v>
      </c>
      <c r="C146" s="16" t="s">
        <v>280</v>
      </c>
      <c r="D146" s="22">
        <v>2</v>
      </c>
      <c r="E146" s="18">
        <v>4290.04</v>
      </c>
      <c r="F146" s="18">
        <v>4290.04</v>
      </c>
      <c r="G146" s="17" t="s">
        <v>18</v>
      </c>
      <c r="H146" s="25">
        <v>9</v>
      </c>
      <c r="I146" s="32"/>
      <c r="J146" s="33"/>
      <c r="K146" s="30"/>
      <c r="L146" s="34"/>
    </row>
    <row r="147" spans="1:12" x14ac:dyDescent="0.25">
      <c r="A147" s="14" t="s">
        <v>206</v>
      </c>
      <c r="B147" s="15" t="s">
        <v>340</v>
      </c>
      <c r="C147" s="16" t="s">
        <v>341</v>
      </c>
      <c r="D147" s="22">
        <v>2</v>
      </c>
      <c r="E147" s="18">
        <v>1565.35</v>
      </c>
      <c r="F147" s="18">
        <v>1565.35</v>
      </c>
      <c r="G147" s="17" t="s">
        <v>18</v>
      </c>
      <c r="H147" s="25">
        <v>9</v>
      </c>
      <c r="I147" s="32"/>
      <c r="J147" s="33"/>
      <c r="K147" s="30"/>
      <c r="L147" s="34"/>
    </row>
    <row r="148" spans="1:12" x14ac:dyDescent="0.25">
      <c r="A148" s="14" t="s">
        <v>120</v>
      </c>
      <c r="B148" s="15" t="s">
        <v>342</v>
      </c>
      <c r="C148" s="16" t="s">
        <v>343</v>
      </c>
      <c r="D148" s="22">
        <v>2</v>
      </c>
      <c r="E148" s="18">
        <v>343.75</v>
      </c>
      <c r="F148" s="18">
        <v>687.5</v>
      </c>
      <c r="G148" s="17" t="s">
        <v>18</v>
      </c>
      <c r="H148" s="25">
        <v>9</v>
      </c>
      <c r="I148" s="32"/>
      <c r="J148" s="33"/>
      <c r="K148" s="30"/>
      <c r="L148" s="34"/>
    </row>
    <row r="149" spans="1:12" x14ac:dyDescent="0.25">
      <c r="A149" s="14" t="s">
        <v>344</v>
      </c>
      <c r="B149" s="15" t="s">
        <v>345</v>
      </c>
      <c r="C149" s="16" t="s">
        <v>346</v>
      </c>
      <c r="D149" s="22">
        <v>2</v>
      </c>
      <c r="E149" s="18">
        <v>1454.67</v>
      </c>
      <c r="F149" s="18">
        <v>2909.34</v>
      </c>
      <c r="G149" s="17" t="s">
        <v>18</v>
      </c>
      <c r="H149" s="25">
        <v>9</v>
      </c>
      <c r="I149" s="32"/>
      <c r="J149" s="33"/>
      <c r="K149" s="30"/>
      <c r="L149" s="34"/>
    </row>
    <row r="150" spans="1:12" x14ac:dyDescent="0.25">
      <c r="A150" s="14" t="s">
        <v>271</v>
      </c>
      <c r="B150" s="15" t="s">
        <v>347</v>
      </c>
      <c r="C150" s="16" t="s">
        <v>348</v>
      </c>
      <c r="D150" s="22">
        <v>2</v>
      </c>
      <c r="E150" s="18">
        <v>1607.32</v>
      </c>
      <c r="F150" s="18">
        <v>1607.32</v>
      </c>
      <c r="G150" s="17" t="s">
        <v>18</v>
      </c>
      <c r="H150" s="25">
        <v>9</v>
      </c>
      <c r="I150" s="32"/>
      <c r="J150" s="33"/>
      <c r="K150" s="30"/>
      <c r="L150" s="34"/>
    </row>
    <row r="151" spans="1:12" x14ac:dyDescent="0.25">
      <c r="A151" s="14" t="s">
        <v>349</v>
      </c>
      <c r="B151" s="15" t="s">
        <v>350</v>
      </c>
      <c r="C151" s="16" t="s">
        <v>346</v>
      </c>
      <c r="D151" s="22">
        <v>2</v>
      </c>
      <c r="E151" s="18">
        <v>775.98</v>
      </c>
      <c r="F151" s="18">
        <v>775.98</v>
      </c>
      <c r="G151" s="17" t="s">
        <v>50</v>
      </c>
      <c r="H151" s="25">
        <v>9</v>
      </c>
      <c r="I151" s="32"/>
      <c r="J151" s="33"/>
      <c r="K151" s="30"/>
      <c r="L151" s="34"/>
    </row>
    <row r="152" spans="1:12" x14ac:dyDescent="0.25">
      <c r="A152" s="14" t="s">
        <v>303</v>
      </c>
      <c r="B152" s="15" t="s">
        <v>351</v>
      </c>
      <c r="C152" s="16" t="s">
        <v>352</v>
      </c>
      <c r="D152" s="22">
        <v>2</v>
      </c>
      <c r="E152" s="18">
        <v>517.32000000000005</v>
      </c>
      <c r="F152" s="18">
        <v>2069.2800000000002</v>
      </c>
      <c r="G152" s="17" t="s">
        <v>18</v>
      </c>
      <c r="H152" s="25">
        <v>9</v>
      </c>
      <c r="I152" s="32"/>
      <c r="J152" s="33"/>
      <c r="K152" s="30"/>
      <c r="L152" s="34"/>
    </row>
    <row r="153" spans="1:12" x14ac:dyDescent="0.25">
      <c r="A153" s="14" t="s">
        <v>306</v>
      </c>
      <c r="B153" s="15" t="s">
        <v>353</v>
      </c>
      <c r="C153" s="16" t="s">
        <v>354</v>
      </c>
      <c r="D153" s="22">
        <v>2</v>
      </c>
      <c r="E153" s="18">
        <v>2258.58</v>
      </c>
      <c r="F153" s="18">
        <v>4517.16</v>
      </c>
      <c r="G153" s="17" t="s">
        <v>18</v>
      </c>
      <c r="H153" s="25">
        <v>9</v>
      </c>
      <c r="I153" s="32"/>
      <c r="J153" s="33"/>
      <c r="K153" s="30"/>
      <c r="L153" s="34"/>
    </row>
    <row r="154" spans="1:12" x14ac:dyDescent="0.25">
      <c r="A154" s="14" t="s">
        <v>265</v>
      </c>
      <c r="B154" s="15" t="s">
        <v>355</v>
      </c>
      <c r="C154" s="16" t="s">
        <v>356</v>
      </c>
      <c r="D154" s="22">
        <v>2</v>
      </c>
      <c r="E154" s="18">
        <v>1625.57</v>
      </c>
      <c r="F154" s="18">
        <v>1625.57</v>
      </c>
      <c r="G154" s="17" t="s">
        <v>18</v>
      </c>
      <c r="H154" s="25">
        <v>9</v>
      </c>
      <c r="I154" s="32"/>
      <c r="J154" s="33"/>
      <c r="K154" s="30"/>
      <c r="L154" s="34"/>
    </row>
    <row r="155" spans="1:12" x14ac:dyDescent="0.25">
      <c r="A155" s="14" t="s">
        <v>357</v>
      </c>
      <c r="B155" s="15" t="s">
        <v>358</v>
      </c>
      <c r="C155" s="16" t="s">
        <v>359</v>
      </c>
      <c r="D155" s="22">
        <v>2</v>
      </c>
      <c r="E155" s="18">
        <v>2060.29</v>
      </c>
      <c r="F155" s="18">
        <v>8241.16</v>
      </c>
      <c r="G155" s="17" t="s">
        <v>18</v>
      </c>
      <c r="H155" s="25">
        <v>9</v>
      </c>
      <c r="I155" s="32"/>
      <c r="J155" s="33"/>
      <c r="K155" s="30"/>
      <c r="L155" s="34"/>
    </row>
    <row r="156" spans="1:12" x14ac:dyDescent="0.25">
      <c r="A156" s="14" t="s">
        <v>360</v>
      </c>
      <c r="B156" s="15" t="s">
        <v>361</v>
      </c>
      <c r="C156" s="16" t="s">
        <v>362</v>
      </c>
      <c r="D156" s="22">
        <v>2</v>
      </c>
      <c r="E156" s="18">
        <v>597.86</v>
      </c>
      <c r="F156" s="18">
        <v>597.86</v>
      </c>
      <c r="G156" s="17" t="s">
        <v>18</v>
      </c>
      <c r="H156" s="25">
        <v>9</v>
      </c>
      <c r="I156" s="32"/>
      <c r="J156" s="33"/>
      <c r="K156" s="30"/>
      <c r="L156" s="34"/>
    </row>
    <row r="157" spans="1:12" x14ac:dyDescent="0.25">
      <c r="A157" s="14" t="s">
        <v>42</v>
      </c>
      <c r="B157" s="15" t="s">
        <v>363</v>
      </c>
      <c r="C157" s="16" t="s">
        <v>364</v>
      </c>
      <c r="D157" s="22">
        <v>2</v>
      </c>
      <c r="E157" s="18">
        <v>2450.02</v>
      </c>
      <c r="F157" s="18">
        <v>2450.02</v>
      </c>
      <c r="G157" s="17" t="s">
        <v>18</v>
      </c>
      <c r="H157" s="25">
        <v>9</v>
      </c>
      <c r="I157" s="32"/>
      <c r="J157" s="33"/>
      <c r="K157" s="30"/>
      <c r="L157" s="34"/>
    </row>
    <row r="158" spans="1:12" x14ac:dyDescent="0.25">
      <c r="A158" s="14" t="s">
        <v>281</v>
      </c>
      <c r="B158" s="15" t="s">
        <v>365</v>
      </c>
      <c r="C158" s="16" t="s">
        <v>366</v>
      </c>
      <c r="D158" s="22">
        <v>2</v>
      </c>
      <c r="E158" s="18">
        <v>1073.51</v>
      </c>
      <c r="F158" s="18">
        <v>1073.51</v>
      </c>
      <c r="G158" s="17" t="s">
        <v>18</v>
      </c>
      <c r="H158" s="25">
        <v>9</v>
      </c>
      <c r="I158" s="32"/>
      <c r="J158" s="33"/>
      <c r="K158" s="30"/>
      <c r="L158" s="34"/>
    </row>
    <row r="159" spans="1:12" x14ac:dyDescent="0.25">
      <c r="A159" s="14" t="s">
        <v>281</v>
      </c>
      <c r="B159" s="15" t="s">
        <v>367</v>
      </c>
      <c r="C159" s="16" t="s">
        <v>368</v>
      </c>
      <c r="D159" s="22">
        <v>2</v>
      </c>
      <c r="E159" s="18">
        <v>1673.05</v>
      </c>
      <c r="F159" s="18">
        <v>1673.05</v>
      </c>
      <c r="G159" s="17" t="s">
        <v>18</v>
      </c>
      <c r="H159" s="25">
        <v>9</v>
      </c>
      <c r="I159" s="32"/>
      <c r="J159" s="33"/>
      <c r="K159" s="30"/>
      <c r="L159" s="34"/>
    </row>
    <row r="160" spans="1:12" x14ac:dyDescent="0.25">
      <c r="A160" s="14" t="s">
        <v>209</v>
      </c>
      <c r="B160" s="15" t="s">
        <v>369</v>
      </c>
      <c r="C160" s="16" t="s">
        <v>370</v>
      </c>
      <c r="D160" s="22">
        <v>2</v>
      </c>
      <c r="E160" s="18">
        <v>964.99</v>
      </c>
      <c r="F160" s="18">
        <v>964.99</v>
      </c>
      <c r="G160" s="17" t="s">
        <v>18</v>
      </c>
      <c r="H160" s="25">
        <v>9</v>
      </c>
      <c r="I160" s="32"/>
      <c r="J160" s="33"/>
      <c r="K160" s="30"/>
      <c r="L160" s="34"/>
    </row>
    <row r="161" spans="1:12" x14ac:dyDescent="0.25">
      <c r="A161" s="14" t="s">
        <v>130</v>
      </c>
      <c r="B161" s="15" t="s">
        <v>371</v>
      </c>
      <c r="C161" s="16" t="s">
        <v>372</v>
      </c>
      <c r="D161" s="22">
        <v>2</v>
      </c>
      <c r="E161" s="18">
        <v>3272.27</v>
      </c>
      <c r="F161" s="18">
        <v>3272.27</v>
      </c>
      <c r="G161" s="17" t="s">
        <v>18</v>
      </c>
      <c r="H161" s="25">
        <v>9</v>
      </c>
      <c r="I161" s="32"/>
      <c r="J161" s="33"/>
      <c r="K161" s="30"/>
      <c r="L161" s="34"/>
    </row>
    <row r="162" spans="1:12" x14ac:dyDescent="0.25">
      <c r="A162" s="14" t="s">
        <v>373</v>
      </c>
      <c r="B162" s="15" t="s">
        <v>374</v>
      </c>
      <c r="C162" s="16" t="s">
        <v>375</v>
      </c>
      <c r="D162" s="22">
        <v>2</v>
      </c>
      <c r="E162" s="18">
        <v>10535.59</v>
      </c>
      <c r="F162" s="18">
        <v>10535.59</v>
      </c>
      <c r="G162" s="17" t="s">
        <v>18</v>
      </c>
      <c r="H162" s="25">
        <v>9</v>
      </c>
      <c r="I162" s="32"/>
      <c r="J162" s="33"/>
      <c r="K162" s="30"/>
      <c r="L162" s="34"/>
    </row>
    <row r="163" spans="1:12" x14ac:dyDescent="0.25">
      <c r="A163" s="14" t="s">
        <v>167</v>
      </c>
      <c r="B163" s="15" t="s">
        <v>376</v>
      </c>
      <c r="C163" s="16" t="s">
        <v>377</v>
      </c>
      <c r="D163" s="22">
        <v>2</v>
      </c>
      <c r="E163" s="18">
        <v>767.67</v>
      </c>
      <c r="F163" s="18">
        <v>767.67</v>
      </c>
      <c r="G163" s="17" t="s">
        <v>18</v>
      </c>
      <c r="H163" s="25">
        <v>9</v>
      </c>
      <c r="I163" s="32"/>
      <c r="J163" s="33"/>
      <c r="K163" s="30"/>
      <c r="L163" s="34"/>
    </row>
    <row r="164" spans="1:12" x14ac:dyDescent="0.25">
      <c r="A164" s="14" t="s">
        <v>378</v>
      </c>
      <c r="B164" s="15" t="s">
        <v>379</v>
      </c>
      <c r="C164" s="16" t="s">
        <v>380</v>
      </c>
      <c r="D164" s="22">
        <v>2</v>
      </c>
      <c r="E164" s="18">
        <v>187.54</v>
      </c>
      <c r="F164" s="18">
        <v>750.16</v>
      </c>
      <c r="G164" s="17" t="s">
        <v>18</v>
      </c>
      <c r="H164" s="25">
        <v>9</v>
      </c>
      <c r="I164" s="32"/>
      <c r="J164" s="33"/>
      <c r="K164" s="30"/>
      <c r="L164" s="34"/>
    </row>
    <row r="165" spans="1:12" x14ac:dyDescent="0.25">
      <c r="A165" s="14" t="s">
        <v>318</v>
      </c>
      <c r="B165" s="15" t="s">
        <v>381</v>
      </c>
      <c r="C165" s="16" t="s">
        <v>382</v>
      </c>
      <c r="D165" s="22">
        <v>2</v>
      </c>
      <c r="E165" s="18">
        <v>13641.36</v>
      </c>
      <c r="F165" s="18">
        <v>13641.36</v>
      </c>
      <c r="G165" s="17" t="s">
        <v>38</v>
      </c>
      <c r="H165" s="25">
        <v>9</v>
      </c>
      <c r="I165" s="32"/>
      <c r="J165" s="33"/>
      <c r="K165" s="30"/>
      <c r="L165" s="34"/>
    </row>
    <row r="166" spans="1:12" x14ac:dyDescent="0.25">
      <c r="A166" s="14" t="s">
        <v>278</v>
      </c>
      <c r="B166" s="15" t="s">
        <v>383</v>
      </c>
      <c r="C166" s="16" t="s">
        <v>384</v>
      </c>
      <c r="D166" s="22">
        <v>2</v>
      </c>
      <c r="E166" s="18">
        <v>11325.78</v>
      </c>
      <c r="F166" s="18">
        <v>11325.78</v>
      </c>
      <c r="G166" s="17" t="s">
        <v>18</v>
      </c>
      <c r="H166" s="25">
        <v>9</v>
      </c>
      <c r="I166" s="32"/>
      <c r="J166" s="33"/>
      <c r="K166" s="30"/>
      <c r="L166" s="34"/>
    </row>
    <row r="167" spans="1:12" x14ac:dyDescent="0.25">
      <c r="A167" s="14" t="s">
        <v>385</v>
      </c>
      <c r="B167" s="15" t="s">
        <v>386</v>
      </c>
      <c r="C167" s="16" t="s">
        <v>387</v>
      </c>
      <c r="D167" s="22">
        <v>2</v>
      </c>
      <c r="E167" s="18">
        <v>1734.78</v>
      </c>
      <c r="F167" s="18">
        <v>1734.78</v>
      </c>
      <c r="G167" s="17" t="s">
        <v>18</v>
      </c>
      <c r="H167" s="25">
        <v>9</v>
      </c>
      <c r="I167" s="32"/>
      <c r="J167" s="33"/>
      <c r="K167" s="30"/>
      <c r="L167" s="34"/>
    </row>
    <row r="168" spans="1:12" x14ac:dyDescent="0.25">
      <c r="A168" s="14" t="s">
        <v>306</v>
      </c>
      <c r="B168" s="15" t="s">
        <v>388</v>
      </c>
      <c r="C168" s="16" t="s">
        <v>389</v>
      </c>
      <c r="D168" s="22">
        <v>2</v>
      </c>
      <c r="E168" s="18">
        <v>2021.34</v>
      </c>
      <c r="F168" s="18">
        <v>4042.68</v>
      </c>
      <c r="G168" s="17" t="s">
        <v>18</v>
      </c>
      <c r="H168" s="25">
        <v>9</v>
      </c>
      <c r="I168" s="32"/>
      <c r="J168" s="33"/>
      <c r="K168" s="30"/>
      <c r="L168" s="34"/>
    </row>
    <row r="169" spans="1:12" x14ac:dyDescent="0.25">
      <c r="A169" s="14" t="s">
        <v>265</v>
      </c>
      <c r="B169" s="15" t="s">
        <v>390</v>
      </c>
      <c r="C169" s="16" t="s">
        <v>391</v>
      </c>
      <c r="D169" s="22">
        <v>2</v>
      </c>
      <c r="E169" s="18">
        <v>1611.93</v>
      </c>
      <c r="F169" s="18">
        <v>1611.93</v>
      </c>
      <c r="G169" s="17" t="s">
        <v>18</v>
      </c>
      <c r="H169" s="25">
        <v>9</v>
      </c>
      <c r="I169" s="32"/>
      <c r="J169" s="33"/>
      <c r="K169" s="30"/>
      <c r="L169" s="34"/>
    </row>
    <row r="170" spans="1:12" x14ac:dyDescent="0.25">
      <c r="A170" s="14" t="s">
        <v>392</v>
      </c>
      <c r="B170" s="15" t="s">
        <v>393</v>
      </c>
      <c r="C170" s="16" t="s">
        <v>394</v>
      </c>
      <c r="D170" s="22">
        <v>2</v>
      </c>
      <c r="E170" s="18">
        <v>3312.88</v>
      </c>
      <c r="F170" s="18">
        <v>3312.88</v>
      </c>
      <c r="G170" s="17" t="s">
        <v>18</v>
      </c>
      <c r="H170" s="25">
        <v>9</v>
      </c>
      <c r="I170" s="32"/>
      <c r="J170" s="33"/>
      <c r="K170" s="30"/>
      <c r="L170" s="34"/>
    </row>
    <row r="171" spans="1:12" x14ac:dyDescent="0.25">
      <c r="A171" s="14" t="s">
        <v>286</v>
      </c>
      <c r="B171" s="15" t="s">
        <v>395</v>
      </c>
      <c r="C171" s="16" t="s">
        <v>396</v>
      </c>
      <c r="D171" s="22">
        <v>2</v>
      </c>
      <c r="E171" s="18">
        <v>4491.72</v>
      </c>
      <c r="F171" s="18">
        <v>4491.72</v>
      </c>
      <c r="G171" s="17" t="s">
        <v>18</v>
      </c>
      <c r="H171" s="25">
        <v>9</v>
      </c>
      <c r="I171" s="32"/>
      <c r="J171" s="33"/>
      <c r="K171" s="30"/>
      <c r="L171" s="34"/>
    </row>
    <row r="172" spans="1:12" x14ac:dyDescent="0.25">
      <c r="A172" s="35" t="s">
        <v>397</v>
      </c>
      <c r="B172" s="36" t="s">
        <v>398</v>
      </c>
      <c r="C172" s="35" t="s">
        <v>399</v>
      </c>
      <c r="D172" s="22">
        <v>2</v>
      </c>
      <c r="E172" s="35">
        <v>1393</v>
      </c>
      <c r="F172" s="35">
        <f>E172*D172</f>
        <v>2786</v>
      </c>
      <c r="G172" s="25"/>
      <c r="H172" s="25">
        <v>10</v>
      </c>
      <c r="I172" s="32"/>
      <c r="J172" s="33"/>
      <c r="K172" s="30"/>
      <c r="L172" s="34"/>
    </row>
    <row r="173" spans="1:12" x14ac:dyDescent="0.25">
      <c r="A173" s="35" t="s">
        <v>349</v>
      </c>
      <c r="B173" s="36" t="s">
        <v>400</v>
      </c>
      <c r="C173" s="35" t="s">
        <v>401</v>
      </c>
      <c r="D173" s="22">
        <v>2</v>
      </c>
      <c r="E173" s="35">
        <v>1467</v>
      </c>
      <c r="F173" s="35">
        <f>E173*D173</f>
        <v>2934</v>
      </c>
      <c r="G173" s="25"/>
      <c r="H173" s="25">
        <v>10</v>
      </c>
      <c r="I173" s="32"/>
      <c r="J173" s="33"/>
      <c r="K173" s="30"/>
      <c r="L173" s="34"/>
    </row>
    <row r="174" spans="1:12" x14ac:dyDescent="0.25">
      <c r="A174" s="35" t="s">
        <v>63</v>
      </c>
      <c r="B174" s="36" t="s">
        <v>402</v>
      </c>
      <c r="C174" s="35" t="s">
        <v>403</v>
      </c>
      <c r="D174" s="22">
        <v>2</v>
      </c>
      <c r="E174" s="35">
        <v>1466</v>
      </c>
      <c r="F174" s="35">
        <v>1466</v>
      </c>
      <c r="G174" s="25"/>
      <c r="H174" s="25">
        <v>10</v>
      </c>
      <c r="I174" s="32"/>
      <c r="J174" s="33"/>
      <c r="K174" s="30"/>
      <c r="L174" s="34"/>
    </row>
    <row r="175" spans="1:12" x14ac:dyDescent="0.25">
      <c r="A175" s="35" t="s">
        <v>404</v>
      </c>
      <c r="B175" s="36" t="s">
        <v>405</v>
      </c>
      <c r="C175" s="35" t="s">
        <v>406</v>
      </c>
      <c r="D175" s="22">
        <v>2</v>
      </c>
      <c r="E175" s="35">
        <v>9080</v>
      </c>
      <c r="F175" s="35">
        <v>9080</v>
      </c>
      <c r="G175" s="25"/>
      <c r="H175" s="25">
        <v>10</v>
      </c>
      <c r="I175" s="32"/>
      <c r="J175" s="33"/>
      <c r="K175" s="30"/>
      <c r="L175" s="34"/>
    </row>
    <row r="176" spans="1:12" x14ac:dyDescent="0.25">
      <c r="A176" s="37" t="s">
        <v>15</v>
      </c>
      <c r="B176" s="38" t="s">
        <v>407</v>
      </c>
      <c r="C176" s="39" t="s">
        <v>408</v>
      </c>
      <c r="D176" s="22">
        <v>2</v>
      </c>
      <c r="E176" s="40">
        <v>1309</v>
      </c>
      <c r="F176" s="40">
        <v>1309</v>
      </c>
      <c r="G176" s="25" t="s">
        <v>18</v>
      </c>
      <c r="H176" s="25">
        <v>6</v>
      </c>
      <c r="I176" s="32"/>
      <c r="J176" s="33"/>
      <c r="K176" s="30"/>
      <c r="L176" s="34"/>
    </row>
    <row r="177" spans="1:12" x14ac:dyDescent="0.25">
      <c r="A177" s="37" t="s">
        <v>15</v>
      </c>
      <c r="B177" s="38" t="s">
        <v>409</v>
      </c>
      <c r="C177" s="39" t="s">
        <v>410</v>
      </c>
      <c r="D177" s="22">
        <v>2</v>
      </c>
      <c r="E177" s="40">
        <v>912</v>
      </c>
      <c r="F177" s="40">
        <v>912</v>
      </c>
      <c r="G177" s="25" t="s">
        <v>18</v>
      </c>
      <c r="H177" s="25">
        <v>6</v>
      </c>
      <c r="I177" s="32"/>
      <c r="J177" s="33"/>
      <c r="K177" s="30"/>
      <c r="L177" s="34"/>
    </row>
    <row r="178" spans="1:12" x14ac:dyDescent="0.25">
      <c r="A178" s="37" t="s">
        <v>15</v>
      </c>
      <c r="B178" s="38" t="s">
        <v>411</v>
      </c>
      <c r="C178" s="39" t="s">
        <v>412</v>
      </c>
      <c r="D178" s="22">
        <v>2</v>
      </c>
      <c r="E178" s="40">
        <v>947</v>
      </c>
      <c r="F178" s="40">
        <v>947</v>
      </c>
      <c r="G178" s="25" t="s">
        <v>18</v>
      </c>
      <c r="H178" s="25">
        <v>6</v>
      </c>
      <c r="I178" s="32"/>
      <c r="J178" s="33"/>
      <c r="K178" s="30"/>
      <c r="L178" s="34"/>
    </row>
    <row r="179" spans="1:12" x14ac:dyDescent="0.25">
      <c r="A179" s="37" t="s">
        <v>15</v>
      </c>
      <c r="B179" s="38" t="s">
        <v>413</v>
      </c>
      <c r="C179" s="39" t="s">
        <v>412</v>
      </c>
      <c r="D179" s="22">
        <v>2</v>
      </c>
      <c r="E179" s="40">
        <v>947</v>
      </c>
      <c r="F179" s="40">
        <v>947</v>
      </c>
      <c r="G179" s="25" t="s">
        <v>18</v>
      </c>
      <c r="H179" s="25">
        <v>6</v>
      </c>
      <c r="I179" s="32"/>
      <c r="J179" s="33"/>
      <c r="K179" s="30"/>
      <c r="L179" s="34"/>
    </row>
    <row r="180" spans="1:12" x14ac:dyDescent="0.25">
      <c r="A180" s="37" t="s">
        <v>15</v>
      </c>
      <c r="B180" s="38" t="s">
        <v>414</v>
      </c>
      <c r="C180" s="39" t="s">
        <v>415</v>
      </c>
      <c r="D180" s="22">
        <v>2</v>
      </c>
      <c r="E180" s="40">
        <v>1939</v>
      </c>
      <c r="F180" s="40">
        <v>1939</v>
      </c>
      <c r="G180" s="25" t="s">
        <v>18</v>
      </c>
      <c r="H180" s="25">
        <v>6</v>
      </c>
      <c r="I180" s="32"/>
      <c r="J180" s="33"/>
      <c r="K180" s="30"/>
      <c r="L180" s="34"/>
    </row>
    <row r="181" spans="1:12" x14ac:dyDescent="0.25">
      <c r="A181" s="37" t="s">
        <v>15</v>
      </c>
      <c r="B181" s="38" t="s">
        <v>416</v>
      </c>
      <c r="C181" s="39" t="s">
        <v>16</v>
      </c>
      <c r="D181" s="22">
        <v>2</v>
      </c>
      <c r="E181" s="40">
        <v>1086</v>
      </c>
      <c r="F181" s="40">
        <v>1086</v>
      </c>
      <c r="G181" s="25" t="s">
        <v>18</v>
      </c>
      <c r="H181" s="25">
        <v>6</v>
      </c>
      <c r="I181" s="32"/>
      <c r="J181" s="33"/>
      <c r="K181" s="30"/>
      <c r="L181" s="34"/>
    </row>
    <row r="182" spans="1:12" x14ac:dyDescent="0.25">
      <c r="A182" s="37" t="s">
        <v>15</v>
      </c>
      <c r="B182" s="38" t="s">
        <v>417</v>
      </c>
      <c r="C182" s="39" t="s">
        <v>16</v>
      </c>
      <c r="D182" s="22">
        <v>2</v>
      </c>
      <c r="E182" s="40">
        <v>1096</v>
      </c>
      <c r="F182" s="40">
        <v>1096</v>
      </c>
      <c r="G182" s="25" t="s">
        <v>18</v>
      </c>
      <c r="H182" s="25">
        <v>6</v>
      </c>
      <c r="I182" s="32"/>
      <c r="J182" s="33"/>
      <c r="K182" s="30"/>
      <c r="L182" s="34"/>
    </row>
    <row r="183" spans="1:12" x14ac:dyDescent="0.25">
      <c r="A183" s="37" t="s">
        <v>15</v>
      </c>
      <c r="B183" s="38" t="s">
        <v>418</v>
      </c>
      <c r="C183" s="39" t="s">
        <v>419</v>
      </c>
      <c r="D183" s="22">
        <v>2</v>
      </c>
      <c r="E183" s="40">
        <v>2088</v>
      </c>
      <c r="F183" s="40">
        <v>4176</v>
      </c>
      <c r="G183" s="25" t="s">
        <v>18</v>
      </c>
      <c r="H183" s="25">
        <v>6</v>
      </c>
      <c r="I183" s="32"/>
      <c r="J183" s="33"/>
      <c r="K183" s="30"/>
      <c r="L183" s="34"/>
    </row>
    <row r="184" spans="1:12" x14ac:dyDescent="0.25">
      <c r="A184" s="37" t="s">
        <v>35</v>
      </c>
      <c r="B184" s="38" t="s">
        <v>420</v>
      </c>
      <c r="C184" s="39" t="s">
        <v>421</v>
      </c>
      <c r="D184" s="22">
        <v>2</v>
      </c>
      <c r="E184" s="40">
        <v>147</v>
      </c>
      <c r="F184" s="40">
        <v>147</v>
      </c>
      <c r="G184" s="25" t="s">
        <v>18</v>
      </c>
      <c r="H184" s="25">
        <v>6</v>
      </c>
      <c r="I184" s="32"/>
      <c r="J184" s="33"/>
      <c r="K184" s="30"/>
      <c r="L184" s="34"/>
    </row>
    <row r="185" spans="1:12" x14ac:dyDescent="0.25">
      <c r="A185" s="37" t="s">
        <v>422</v>
      </c>
      <c r="B185" s="38" t="s">
        <v>423</v>
      </c>
      <c r="C185" s="39" t="s">
        <v>424</v>
      </c>
      <c r="D185" s="22">
        <v>2</v>
      </c>
      <c r="E185" s="40">
        <v>4642</v>
      </c>
      <c r="F185" s="40">
        <v>4642</v>
      </c>
      <c r="G185" s="25" t="s">
        <v>18</v>
      </c>
      <c r="H185" s="25">
        <v>6</v>
      </c>
      <c r="I185" s="32"/>
      <c r="J185" s="33"/>
      <c r="K185" s="30"/>
      <c r="L185" s="34"/>
    </row>
    <row r="186" spans="1:12" x14ac:dyDescent="0.25">
      <c r="A186" s="37" t="s">
        <v>42</v>
      </c>
      <c r="B186" s="38" t="s">
        <v>425</v>
      </c>
      <c r="C186" s="39" t="s">
        <v>426</v>
      </c>
      <c r="D186" s="22">
        <v>2</v>
      </c>
      <c r="E186" s="40">
        <v>686</v>
      </c>
      <c r="F186" s="40">
        <v>1372</v>
      </c>
      <c r="G186" s="25" t="s">
        <v>18</v>
      </c>
      <c r="H186" s="25">
        <v>6</v>
      </c>
      <c r="I186" s="32"/>
      <c r="J186" s="33"/>
      <c r="K186" s="30"/>
      <c r="L186" s="34"/>
    </row>
    <row r="187" spans="1:12" x14ac:dyDescent="0.25">
      <c r="A187" s="37" t="s">
        <v>427</v>
      </c>
      <c r="B187" s="38" t="s">
        <v>428</v>
      </c>
      <c r="C187" s="39" t="s">
        <v>429</v>
      </c>
      <c r="D187" s="22">
        <v>2</v>
      </c>
      <c r="E187" s="40">
        <v>819</v>
      </c>
      <c r="F187" s="40">
        <v>819</v>
      </c>
      <c r="G187" s="25" t="s">
        <v>18</v>
      </c>
      <c r="H187" s="25">
        <v>6</v>
      </c>
      <c r="I187" s="32"/>
      <c r="J187" s="33"/>
      <c r="K187" s="30"/>
      <c r="L187" s="34"/>
    </row>
    <row r="188" spans="1:12" x14ac:dyDescent="0.25">
      <c r="A188" s="37" t="s">
        <v>430</v>
      </c>
      <c r="B188" s="38" t="s">
        <v>431</v>
      </c>
      <c r="C188" s="39" t="s">
        <v>94</v>
      </c>
      <c r="D188" s="22">
        <v>2</v>
      </c>
      <c r="E188" s="40">
        <v>1778</v>
      </c>
      <c r="F188" s="40">
        <v>1778</v>
      </c>
      <c r="G188" s="25" t="s">
        <v>18</v>
      </c>
      <c r="H188" s="25">
        <v>6</v>
      </c>
      <c r="I188" s="32"/>
      <c r="J188" s="33"/>
      <c r="K188" s="30"/>
      <c r="L188" s="34"/>
    </row>
    <row r="189" spans="1:12" x14ac:dyDescent="0.25">
      <c r="A189" s="37" t="s">
        <v>187</v>
      </c>
      <c r="B189" s="38" t="s">
        <v>432</v>
      </c>
      <c r="C189" s="39" t="s">
        <v>433</v>
      </c>
      <c r="D189" s="22">
        <v>2</v>
      </c>
      <c r="E189" s="40">
        <v>5403</v>
      </c>
      <c r="F189" s="40">
        <v>5403</v>
      </c>
      <c r="G189" s="25" t="s">
        <v>18</v>
      </c>
      <c r="H189" s="25">
        <v>6</v>
      </c>
      <c r="I189" s="32"/>
      <c r="J189" s="33"/>
      <c r="K189" s="30"/>
      <c r="L189" s="34"/>
    </row>
    <row r="190" spans="1:12" x14ac:dyDescent="0.25">
      <c r="A190" s="37" t="s">
        <v>434</v>
      </c>
      <c r="B190" s="38" t="s">
        <v>435</v>
      </c>
      <c r="C190" s="39" t="s">
        <v>415</v>
      </c>
      <c r="D190" s="22">
        <v>2</v>
      </c>
      <c r="E190" s="40">
        <v>963</v>
      </c>
      <c r="F190" s="40">
        <v>963</v>
      </c>
      <c r="G190" s="25" t="s">
        <v>18</v>
      </c>
      <c r="H190" s="25">
        <v>6</v>
      </c>
      <c r="I190" s="32"/>
      <c r="J190" s="33"/>
      <c r="K190" s="30"/>
      <c r="L190" s="34"/>
    </row>
    <row r="191" spans="1:12" x14ac:dyDescent="0.25">
      <c r="A191" s="37" t="s">
        <v>436</v>
      </c>
      <c r="B191" s="38" t="s">
        <v>437</v>
      </c>
      <c r="C191" s="39" t="s">
        <v>438</v>
      </c>
      <c r="D191" s="22">
        <v>2</v>
      </c>
      <c r="E191" s="40">
        <v>2150</v>
      </c>
      <c r="F191" s="40">
        <v>2150</v>
      </c>
      <c r="G191" s="25" t="s">
        <v>18</v>
      </c>
      <c r="H191" s="25">
        <v>6</v>
      </c>
      <c r="I191" s="32"/>
      <c r="J191" s="33"/>
      <c r="K191" s="30"/>
      <c r="L191" s="34"/>
    </row>
    <row r="192" spans="1:12" x14ac:dyDescent="0.25">
      <c r="A192" s="37" t="s">
        <v>436</v>
      </c>
      <c r="B192" s="38" t="s">
        <v>437</v>
      </c>
      <c r="C192" s="39" t="s">
        <v>438</v>
      </c>
      <c r="D192" s="22">
        <v>2</v>
      </c>
      <c r="E192" s="40">
        <v>2150</v>
      </c>
      <c r="F192" s="40">
        <v>2150</v>
      </c>
      <c r="G192" s="25" t="s">
        <v>18</v>
      </c>
      <c r="H192" s="25">
        <v>6</v>
      </c>
      <c r="I192" s="32"/>
      <c r="J192" s="33"/>
      <c r="K192" s="30"/>
      <c r="L192" s="34"/>
    </row>
    <row r="193" spans="1:12" x14ac:dyDescent="0.25">
      <c r="A193" s="37" t="s">
        <v>63</v>
      </c>
      <c r="B193" s="38" t="s">
        <v>439</v>
      </c>
      <c r="C193" s="39" t="s">
        <v>440</v>
      </c>
      <c r="D193" s="22">
        <v>2</v>
      </c>
      <c r="E193" s="40">
        <v>185</v>
      </c>
      <c r="F193" s="40">
        <v>185</v>
      </c>
      <c r="G193" s="25" t="s">
        <v>50</v>
      </c>
      <c r="H193" s="25">
        <v>6</v>
      </c>
      <c r="I193" s="32"/>
      <c r="J193" s="33"/>
      <c r="K193" s="30"/>
      <c r="L193" s="34"/>
    </row>
    <row r="194" spans="1:12" x14ac:dyDescent="0.25">
      <c r="A194" s="37" t="s">
        <v>441</v>
      </c>
      <c r="B194" s="38" t="s">
        <v>442</v>
      </c>
      <c r="C194" s="39" t="s">
        <v>443</v>
      </c>
      <c r="D194" s="22">
        <v>2</v>
      </c>
      <c r="E194" s="40">
        <v>1148</v>
      </c>
      <c r="F194" s="40">
        <v>1148</v>
      </c>
      <c r="G194" s="25" t="s">
        <v>18</v>
      </c>
      <c r="H194" s="25">
        <v>6</v>
      </c>
      <c r="I194" s="32"/>
      <c r="J194" s="33"/>
      <c r="K194" s="30"/>
      <c r="L194" s="34"/>
    </row>
    <row r="195" spans="1:12" x14ac:dyDescent="0.25">
      <c r="A195" s="37" t="s">
        <v>444</v>
      </c>
      <c r="B195" s="38" t="s">
        <v>445</v>
      </c>
      <c r="C195" s="39" t="s">
        <v>165</v>
      </c>
      <c r="D195" s="22">
        <v>2</v>
      </c>
      <c r="E195" s="40">
        <v>1346</v>
      </c>
      <c r="F195" s="40">
        <v>1346</v>
      </c>
      <c r="G195" s="25" t="s">
        <v>18</v>
      </c>
      <c r="H195" s="25">
        <v>6</v>
      </c>
      <c r="I195" s="32"/>
      <c r="J195" s="33"/>
      <c r="K195" s="30"/>
      <c r="L195" s="34"/>
    </row>
    <row r="196" spans="1:12" x14ac:dyDescent="0.25">
      <c r="A196" s="37" t="s">
        <v>446</v>
      </c>
      <c r="B196" s="38" t="s">
        <v>447</v>
      </c>
      <c r="C196" s="39" t="s">
        <v>448</v>
      </c>
      <c r="D196" s="22">
        <v>2</v>
      </c>
      <c r="E196" s="40">
        <v>1016</v>
      </c>
      <c r="F196" s="40">
        <v>1016</v>
      </c>
      <c r="G196" s="25" t="s">
        <v>18</v>
      </c>
      <c r="H196" s="25">
        <v>6</v>
      </c>
      <c r="I196" s="32"/>
      <c r="J196" s="33"/>
      <c r="K196" s="30"/>
      <c r="L196" s="34"/>
    </row>
    <row r="197" spans="1:12" x14ac:dyDescent="0.25">
      <c r="A197" s="37" t="s">
        <v>446</v>
      </c>
      <c r="B197" s="38" t="s">
        <v>449</v>
      </c>
      <c r="C197" s="39" t="s">
        <v>448</v>
      </c>
      <c r="D197" s="22">
        <v>2</v>
      </c>
      <c r="E197" s="40">
        <v>1169</v>
      </c>
      <c r="F197" s="40">
        <v>1169</v>
      </c>
      <c r="G197" s="25" t="s">
        <v>18</v>
      </c>
      <c r="H197" s="25">
        <v>6</v>
      </c>
      <c r="I197" s="32"/>
      <c r="J197" s="33"/>
      <c r="K197" s="30"/>
      <c r="L197" s="34"/>
    </row>
    <row r="198" spans="1:12" x14ac:dyDescent="0.25">
      <c r="A198" s="37" t="s">
        <v>23</v>
      </c>
      <c r="B198" s="38" t="s">
        <v>450</v>
      </c>
      <c r="C198" s="39" t="s">
        <v>451</v>
      </c>
      <c r="D198" s="22">
        <v>2</v>
      </c>
      <c r="E198" s="40">
        <v>796</v>
      </c>
      <c r="F198" s="40">
        <v>796</v>
      </c>
      <c r="G198" s="25" t="s">
        <v>18</v>
      </c>
      <c r="H198" s="25">
        <v>6</v>
      </c>
      <c r="I198" s="32"/>
      <c r="J198" s="33"/>
      <c r="K198" s="30"/>
      <c r="L198" s="34"/>
    </row>
    <row r="199" spans="1:12" x14ac:dyDescent="0.25">
      <c r="A199" s="37" t="s">
        <v>23</v>
      </c>
      <c r="B199" s="38" t="s">
        <v>452</v>
      </c>
      <c r="C199" s="39" t="s">
        <v>453</v>
      </c>
      <c r="D199" s="22">
        <v>2</v>
      </c>
      <c r="E199" s="40">
        <v>952</v>
      </c>
      <c r="F199" s="40">
        <v>952</v>
      </c>
      <c r="G199" s="25" t="s">
        <v>18</v>
      </c>
      <c r="H199" s="25">
        <v>6</v>
      </c>
      <c r="I199" s="32"/>
      <c r="J199" s="33"/>
      <c r="K199" s="30"/>
      <c r="L199" s="34"/>
    </row>
    <row r="200" spans="1:12" x14ac:dyDescent="0.25">
      <c r="A200" s="37" t="s">
        <v>454</v>
      </c>
      <c r="B200" s="38" t="s">
        <v>455</v>
      </c>
      <c r="C200" s="39" t="s">
        <v>456</v>
      </c>
      <c r="D200" s="22">
        <v>2</v>
      </c>
      <c r="E200" s="40">
        <v>1658</v>
      </c>
      <c r="F200" s="40">
        <v>1658</v>
      </c>
      <c r="G200" s="25" t="s">
        <v>50</v>
      </c>
      <c r="H200" s="25">
        <v>6</v>
      </c>
      <c r="I200" s="32"/>
      <c r="J200" s="33"/>
      <c r="K200" s="30"/>
      <c r="L200" s="34"/>
    </row>
    <row r="201" spans="1:12" x14ac:dyDescent="0.25">
      <c r="A201" s="37" t="s">
        <v>457</v>
      </c>
      <c r="B201" s="38" t="s">
        <v>458</v>
      </c>
      <c r="C201" s="39" t="s">
        <v>459</v>
      </c>
      <c r="D201" s="22">
        <v>2</v>
      </c>
      <c r="E201" s="40">
        <v>1296</v>
      </c>
      <c r="F201" s="40">
        <v>1296</v>
      </c>
      <c r="G201" s="25" t="s">
        <v>50</v>
      </c>
      <c r="H201" s="25">
        <v>6</v>
      </c>
      <c r="I201" s="32"/>
      <c r="J201" s="33"/>
      <c r="K201" s="30"/>
      <c r="L201" s="34"/>
    </row>
    <row r="202" spans="1:12" x14ac:dyDescent="0.25">
      <c r="A202" s="37" t="s">
        <v>457</v>
      </c>
      <c r="B202" s="38" t="s">
        <v>460</v>
      </c>
      <c r="C202" s="39" t="s">
        <v>461</v>
      </c>
      <c r="D202" s="22">
        <v>2</v>
      </c>
      <c r="E202" s="40">
        <v>3353</v>
      </c>
      <c r="F202" s="40">
        <v>6706</v>
      </c>
      <c r="G202" s="25" t="s">
        <v>38</v>
      </c>
      <c r="H202" s="25">
        <v>6</v>
      </c>
      <c r="I202" s="32"/>
      <c r="J202" s="33"/>
      <c r="K202" s="30"/>
      <c r="L202" s="34"/>
    </row>
    <row r="203" spans="1:12" x14ac:dyDescent="0.25">
      <c r="A203" s="37" t="s">
        <v>462</v>
      </c>
      <c r="B203" s="38" t="s">
        <v>463</v>
      </c>
      <c r="C203" s="39" t="s">
        <v>464</v>
      </c>
      <c r="D203" s="22">
        <v>2</v>
      </c>
      <c r="E203" s="40">
        <v>1928</v>
      </c>
      <c r="F203" s="40">
        <v>1928</v>
      </c>
      <c r="G203" s="25" t="s">
        <v>18</v>
      </c>
      <c r="H203" s="25">
        <v>6</v>
      </c>
      <c r="I203" s="32"/>
      <c r="J203" s="33"/>
      <c r="K203" s="30"/>
      <c r="L203" s="34"/>
    </row>
    <row r="204" spans="1:12" x14ac:dyDescent="0.25">
      <c r="A204" s="37" t="s">
        <v>232</v>
      </c>
      <c r="B204" s="38" t="s">
        <v>465</v>
      </c>
      <c r="C204" s="39" t="s">
        <v>466</v>
      </c>
      <c r="D204" s="22">
        <v>2</v>
      </c>
      <c r="E204" s="40">
        <v>1275</v>
      </c>
      <c r="F204" s="40">
        <v>1275</v>
      </c>
      <c r="G204" s="25" t="s">
        <v>38</v>
      </c>
      <c r="H204" s="25">
        <v>6</v>
      </c>
      <c r="I204" s="32"/>
      <c r="J204" s="33"/>
      <c r="K204" s="30"/>
      <c r="L204" s="34"/>
    </row>
    <row r="205" spans="1:12" x14ac:dyDescent="0.25">
      <c r="A205" s="37" t="s">
        <v>232</v>
      </c>
      <c r="B205" s="38" t="s">
        <v>467</v>
      </c>
      <c r="C205" s="39" t="s">
        <v>468</v>
      </c>
      <c r="D205" s="22">
        <v>2</v>
      </c>
      <c r="E205" s="40">
        <v>3272</v>
      </c>
      <c r="F205" s="40">
        <v>6544</v>
      </c>
      <c r="G205" s="25" t="s">
        <v>50</v>
      </c>
      <c r="H205" s="25">
        <v>6</v>
      </c>
      <c r="I205" s="32"/>
      <c r="J205" s="33"/>
      <c r="K205" s="30"/>
      <c r="L205" s="34"/>
    </row>
    <row r="206" spans="1:12" x14ac:dyDescent="0.25">
      <c r="A206" s="37" t="s">
        <v>469</v>
      </c>
      <c r="B206" s="38" t="s">
        <v>470</v>
      </c>
      <c r="C206" s="39" t="s">
        <v>471</v>
      </c>
      <c r="D206" s="22">
        <v>2</v>
      </c>
      <c r="E206" s="40">
        <v>1885</v>
      </c>
      <c r="F206" s="40">
        <v>1885</v>
      </c>
      <c r="G206" s="25" t="s">
        <v>18</v>
      </c>
      <c r="H206" s="25">
        <v>6</v>
      </c>
      <c r="I206" s="32"/>
      <c r="J206" s="33"/>
      <c r="K206" s="30"/>
      <c r="L206" s="34"/>
    </row>
    <row r="207" spans="1:12" x14ac:dyDescent="0.25">
      <c r="A207" s="37" t="s">
        <v>120</v>
      </c>
      <c r="B207" s="38" t="s">
        <v>472</v>
      </c>
      <c r="C207" s="39" t="s">
        <v>94</v>
      </c>
      <c r="D207" s="22">
        <v>2</v>
      </c>
      <c r="E207" s="40">
        <v>1099</v>
      </c>
      <c r="F207" s="40">
        <v>1099</v>
      </c>
      <c r="G207" s="25" t="s">
        <v>18</v>
      </c>
      <c r="H207" s="25">
        <v>6</v>
      </c>
      <c r="I207" s="32"/>
      <c r="J207" s="33"/>
      <c r="K207" s="30"/>
      <c r="L207" s="34"/>
    </row>
    <row r="208" spans="1:12" x14ac:dyDescent="0.25">
      <c r="A208" s="37" t="s">
        <v>125</v>
      </c>
      <c r="B208" s="38" t="s">
        <v>473</v>
      </c>
      <c r="C208" s="39" t="s">
        <v>474</v>
      </c>
      <c r="D208" s="22">
        <v>2</v>
      </c>
      <c r="E208" s="40">
        <v>6815</v>
      </c>
      <c r="F208" s="40">
        <v>6815</v>
      </c>
      <c r="G208" s="25" t="s">
        <v>18</v>
      </c>
      <c r="H208" s="25">
        <v>6</v>
      </c>
      <c r="I208" s="32"/>
      <c r="J208" s="33"/>
      <c r="K208" s="30"/>
      <c r="L208" s="34"/>
    </row>
    <row r="209" spans="1:12" x14ac:dyDescent="0.25">
      <c r="A209" s="37" t="s">
        <v>125</v>
      </c>
      <c r="B209" s="38" t="s">
        <v>475</v>
      </c>
      <c r="C209" s="39" t="s">
        <v>476</v>
      </c>
      <c r="D209" s="22">
        <v>2</v>
      </c>
      <c r="E209" s="40">
        <v>7097</v>
      </c>
      <c r="F209" s="40">
        <v>7097</v>
      </c>
      <c r="G209" s="25" t="s">
        <v>18</v>
      </c>
      <c r="H209" s="25">
        <v>6</v>
      </c>
      <c r="I209" s="32"/>
      <c r="J209" s="33"/>
      <c r="K209" s="30"/>
      <c r="L209" s="34"/>
    </row>
    <row r="210" spans="1:12" x14ac:dyDescent="0.25">
      <c r="A210" s="37" t="s">
        <v>477</v>
      </c>
      <c r="B210" s="38" t="s">
        <v>257</v>
      </c>
      <c r="C210" s="39" t="s">
        <v>41</v>
      </c>
      <c r="D210" s="22">
        <v>2</v>
      </c>
      <c r="E210" s="40">
        <v>423</v>
      </c>
      <c r="F210" s="40">
        <v>423</v>
      </c>
      <c r="G210" s="25" t="s">
        <v>18</v>
      </c>
      <c r="H210" s="25">
        <v>6</v>
      </c>
      <c r="I210" s="32"/>
      <c r="J210" s="33"/>
      <c r="K210" s="30"/>
      <c r="L210" s="34"/>
    </row>
    <row r="211" spans="1:12" x14ac:dyDescent="0.25">
      <c r="A211" s="37" t="s">
        <v>159</v>
      </c>
      <c r="B211" s="38" t="s">
        <v>301</v>
      </c>
      <c r="C211" s="39" t="s">
        <v>415</v>
      </c>
      <c r="D211" s="22">
        <v>2</v>
      </c>
      <c r="E211" s="40">
        <v>3756</v>
      </c>
      <c r="F211" s="40">
        <v>3756</v>
      </c>
      <c r="G211" s="25" t="s">
        <v>50</v>
      </c>
      <c r="H211" s="25">
        <v>6</v>
      </c>
      <c r="I211" s="32"/>
      <c r="J211" s="33"/>
      <c r="K211" s="30"/>
      <c r="L211" s="34"/>
    </row>
    <row r="212" spans="1:12" x14ac:dyDescent="0.25">
      <c r="A212" s="37" t="s">
        <v>159</v>
      </c>
      <c r="B212" s="38" t="s">
        <v>162</v>
      </c>
      <c r="C212" s="39" t="s">
        <v>415</v>
      </c>
      <c r="D212" s="22">
        <v>2</v>
      </c>
      <c r="E212" s="40">
        <v>1662</v>
      </c>
      <c r="F212" s="40">
        <v>1662</v>
      </c>
      <c r="G212" s="25" t="s">
        <v>50</v>
      </c>
      <c r="H212" s="25">
        <v>6</v>
      </c>
      <c r="I212" s="32"/>
      <c r="J212" s="33"/>
      <c r="K212" s="30"/>
      <c r="L212" s="34"/>
    </row>
    <row r="213" spans="1:12" x14ac:dyDescent="0.25">
      <c r="A213" s="37" t="s">
        <v>163</v>
      </c>
      <c r="B213" s="38" t="s">
        <v>478</v>
      </c>
      <c r="C213" s="39" t="s">
        <v>479</v>
      </c>
      <c r="D213" s="22">
        <v>2</v>
      </c>
      <c r="E213" s="40">
        <v>1664</v>
      </c>
      <c r="F213" s="40">
        <v>1664</v>
      </c>
      <c r="G213" s="25" t="s">
        <v>38</v>
      </c>
      <c r="H213" s="25">
        <v>6</v>
      </c>
      <c r="I213" s="32"/>
      <c r="J213" s="33"/>
      <c r="K213" s="30"/>
      <c r="L213" s="34"/>
    </row>
    <row r="214" spans="1:12" x14ac:dyDescent="0.25">
      <c r="A214" s="37" t="s">
        <v>167</v>
      </c>
      <c r="B214" s="38" t="s">
        <v>480</v>
      </c>
      <c r="C214" s="39" t="s">
        <v>186</v>
      </c>
      <c r="D214" s="22">
        <v>2</v>
      </c>
      <c r="E214" s="40">
        <v>9249</v>
      </c>
      <c r="F214" s="40">
        <v>9249</v>
      </c>
      <c r="G214" s="25" t="s">
        <v>18</v>
      </c>
      <c r="H214" s="25">
        <v>6</v>
      </c>
      <c r="I214" s="32"/>
      <c r="J214" s="33"/>
      <c r="K214" s="30"/>
      <c r="L214" s="34"/>
    </row>
    <row r="215" spans="1:12" x14ac:dyDescent="0.25">
      <c r="A215" s="37" t="s">
        <v>13</v>
      </c>
      <c r="B215" s="38" t="s">
        <v>481</v>
      </c>
      <c r="C215" s="39" t="s">
        <v>433</v>
      </c>
      <c r="D215" s="22">
        <v>2</v>
      </c>
      <c r="E215" s="40">
        <v>11526</v>
      </c>
      <c r="F215" s="40">
        <v>11526</v>
      </c>
      <c r="G215" s="25" t="s">
        <v>18</v>
      </c>
      <c r="H215" s="25">
        <v>6</v>
      </c>
      <c r="I215" s="32"/>
      <c r="J215" s="33"/>
      <c r="K215" s="30"/>
      <c r="L215" s="34"/>
    </row>
    <row r="216" spans="1:12" x14ac:dyDescent="0.25">
      <c r="A216" s="25" t="s">
        <v>42</v>
      </c>
      <c r="B216" s="41" t="s">
        <v>482</v>
      </c>
      <c r="C216" s="42" t="s">
        <v>14</v>
      </c>
      <c r="D216" s="22">
        <v>2</v>
      </c>
      <c r="E216" s="43">
        <v>4454.52001953125</v>
      </c>
      <c r="F216" s="43">
        <v>4454.52001953125</v>
      </c>
      <c r="G216" s="25" t="s">
        <v>18</v>
      </c>
      <c r="H216" s="25">
        <v>5</v>
      </c>
      <c r="I216" s="32"/>
      <c r="J216" s="33"/>
      <c r="K216" s="30"/>
      <c r="L216" s="34"/>
    </row>
    <row r="217" spans="1:12" x14ac:dyDescent="0.25">
      <c r="A217" s="25"/>
      <c r="B217" s="25">
        <v>100229</v>
      </c>
      <c r="C217" s="42" t="s">
        <v>483</v>
      </c>
      <c r="D217" s="22">
        <v>2</v>
      </c>
      <c r="E217" s="43">
        <v>2701.22998046875</v>
      </c>
      <c r="F217" s="43">
        <v>2701.22998046875</v>
      </c>
      <c r="G217" s="25" t="s">
        <v>38</v>
      </c>
      <c r="H217" s="25">
        <v>5</v>
      </c>
      <c r="I217" s="32"/>
      <c r="J217" s="33"/>
      <c r="K217" s="30"/>
      <c r="L217" s="34"/>
    </row>
    <row r="218" spans="1:12" x14ac:dyDescent="0.25">
      <c r="A218" s="25"/>
      <c r="B218" s="25">
        <v>109728</v>
      </c>
      <c r="C218" s="42" t="s">
        <v>484</v>
      </c>
      <c r="D218" s="22">
        <v>2</v>
      </c>
      <c r="E218" s="43">
        <v>54.790000915527337</v>
      </c>
      <c r="F218" s="43">
        <v>109.5800018310547</v>
      </c>
      <c r="G218" s="25" t="s">
        <v>38</v>
      </c>
      <c r="H218" s="25">
        <v>5</v>
      </c>
      <c r="I218" s="32"/>
      <c r="J218" s="33"/>
      <c r="K218" s="30"/>
      <c r="L218" s="34"/>
    </row>
    <row r="219" spans="1:12" x14ac:dyDescent="0.25">
      <c r="A219" s="25" t="s">
        <v>42</v>
      </c>
      <c r="B219" s="41" t="s">
        <v>485</v>
      </c>
      <c r="C219" s="42" t="s">
        <v>419</v>
      </c>
      <c r="D219" s="22">
        <v>2</v>
      </c>
      <c r="E219" s="43">
        <v>4161.22998046875</v>
      </c>
      <c r="F219" s="43">
        <v>8322.4599609375</v>
      </c>
      <c r="G219" s="25" t="s">
        <v>18</v>
      </c>
      <c r="H219" s="25">
        <v>5</v>
      </c>
      <c r="I219" s="32"/>
      <c r="J219" s="33"/>
      <c r="K219" s="30"/>
      <c r="L219" s="34"/>
    </row>
    <row r="220" spans="1:12" x14ac:dyDescent="0.25">
      <c r="A220" s="25" t="s">
        <v>42</v>
      </c>
      <c r="B220" s="41" t="s">
        <v>486</v>
      </c>
      <c r="C220" s="42" t="s">
        <v>487</v>
      </c>
      <c r="D220" s="22">
        <v>2</v>
      </c>
      <c r="E220" s="43">
        <v>645.510009765625</v>
      </c>
      <c r="F220" s="43">
        <v>645.510009765625</v>
      </c>
      <c r="G220" s="25" t="s">
        <v>18</v>
      </c>
      <c r="H220" s="25">
        <v>5</v>
      </c>
      <c r="I220" s="32"/>
      <c r="J220" s="33"/>
      <c r="K220" s="30"/>
      <c r="L220" s="34"/>
    </row>
    <row r="221" spans="1:12" x14ac:dyDescent="0.25">
      <c r="A221" s="25" t="s">
        <v>63</v>
      </c>
      <c r="B221" s="41" t="s">
        <v>488</v>
      </c>
      <c r="C221" s="42" t="s">
        <v>489</v>
      </c>
      <c r="D221" s="22">
        <v>2</v>
      </c>
      <c r="E221" s="43">
        <v>903.1300048828125</v>
      </c>
      <c r="F221" s="43">
        <v>903.1300048828125</v>
      </c>
      <c r="G221" s="25" t="s">
        <v>18</v>
      </c>
      <c r="H221" s="25">
        <v>5</v>
      </c>
      <c r="I221" s="32"/>
      <c r="J221" s="33"/>
      <c r="K221" s="30"/>
      <c r="L221" s="34"/>
    </row>
    <row r="222" spans="1:12" x14ac:dyDescent="0.25">
      <c r="A222" s="25" t="s">
        <v>446</v>
      </c>
      <c r="B222" s="41" t="s">
        <v>490</v>
      </c>
      <c r="C222" s="42" t="s">
        <v>491</v>
      </c>
      <c r="D222" s="22">
        <v>2</v>
      </c>
      <c r="E222" s="43">
        <v>549.33001708984375</v>
      </c>
      <c r="F222" s="43">
        <v>1098.660034179688</v>
      </c>
      <c r="G222" s="25" t="s">
        <v>18</v>
      </c>
      <c r="H222" s="25">
        <v>5</v>
      </c>
      <c r="I222" s="32"/>
      <c r="J222" s="33"/>
      <c r="K222" s="30"/>
      <c r="L222" s="34"/>
    </row>
    <row r="223" spans="1:12" x14ac:dyDescent="0.25">
      <c r="A223" s="25" t="s">
        <v>130</v>
      </c>
      <c r="B223" s="41" t="s">
        <v>492</v>
      </c>
      <c r="C223" s="42" t="s">
        <v>129</v>
      </c>
      <c r="D223" s="22">
        <v>2</v>
      </c>
      <c r="E223" s="43">
        <v>11286.2998046875</v>
      </c>
      <c r="F223" s="43">
        <v>11286.2998046875</v>
      </c>
      <c r="G223" s="25" t="s">
        <v>18</v>
      </c>
      <c r="H223" s="25">
        <v>5</v>
      </c>
      <c r="I223" s="32"/>
      <c r="J223" s="33"/>
      <c r="K223" s="30"/>
      <c r="L223" s="34"/>
    </row>
    <row r="224" spans="1:12" x14ac:dyDescent="0.25">
      <c r="A224" s="25" t="s">
        <v>303</v>
      </c>
      <c r="B224" s="25" t="s">
        <v>40</v>
      </c>
      <c r="C224" s="42" t="s">
        <v>493</v>
      </c>
      <c r="D224" s="22">
        <v>2</v>
      </c>
      <c r="E224" s="43">
        <v>691.260009765625</v>
      </c>
      <c r="F224" s="43">
        <v>691.260009765625</v>
      </c>
      <c r="G224" s="25" t="s">
        <v>18</v>
      </c>
      <c r="H224" s="25">
        <v>5</v>
      </c>
      <c r="I224" s="32"/>
      <c r="J224" s="33"/>
      <c r="K224" s="30"/>
      <c r="L224" s="34"/>
    </row>
    <row r="225" spans="1:12" ht="30" x14ac:dyDescent="0.25">
      <c r="A225" s="25" t="s">
        <v>167</v>
      </c>
      <c r="B225" s="41" t="s">
        <v>494</v>
      </c>
      <c r="C225" s="42" t="s">
        <v>495</v>
      </c>
      <c r="D225" s="22">
        <v>2</v>
      </c>
      <c r="E225" s="43">
        <v>1359.140014648438</v>
      </c>
      <c r="F225" s="43">
        <v>1359.140014648438</v>
      </c>
      <c r="G225" s="25" t="s">
        <v>18</v>
      </c>
      <c r="H225" s="25">
        <v>5</v>
      </c>
      <c r="I225" s="32"/>
      <c r="J225" s="33"/>
      <c r="K225" s="30"/>
      <c r="L225" s="34"/>
    </row>
    <row r="226" spans="1:12" x14ac:dyDescent="0.25">
      <c r="A226" s="25" t="s">
        <v>496</v>
      </c>
      <c r="B226" s="41" t="s">
        <v>497</v>
      </c>
      <c r="C226" s="42" t="s">
        <v>498</v>
      </c>
      <c r="D226" s="22">
        <v>2</v>
      </c>
      <c r="E226" s="43">
        <v>4896.27001953125</v>
      </c>
      <c r="F226" s="43">
        <v>4896.27001953125</v>
      </c>
      <c r="G226" s="25" t="s">
        <v>50</v>
      </c>
      <c r="H226" s="25">
        <v>5</v>
      </c>
      <c r="I226" s="32"/>
      <c r="J226" s="33"/>
      <c r="K226" s="30"/>
      <c r="L226" s="34"/>
    </row>
    <row r="227" spans="1:12" x14ac:dyDescent="0.25">
      <c r="A227" s="44" t="s">
        <v>260</v>
      </c>
      <c r="B227" s="45" t="s">
        <v>499</v>
      </c>
      <c r="C227" s="44" t="s">
        <v>500</v>
      </c>
      <c r="D227" s="22">
        <v>2</v>
      </c>
      <c r="E227" s="44">
        <v>796.16</v>
      </c>
      <c r="F227" s="44">
        <f t="shared" ref="F227:F290" si="0">E227*D227</f>
        <v>1592.32</v>
      </c>
      <c r="G227" s="19" t="s">
        <v>18</v>
      </c>
      <c r="H227" s="25">
        <v>2</v>
      </c>
      <c r="I227" s="32"/>
      <c r="J227" s="33"/>
      <c r="K227" s="30"/>
      <c r="L227" s="34"/>
    </row>
    <row r="228" spans="1:12" x14ac:dyDescent="0.25">
      <c r="A228" s="44" t="s">
        <v>260</v>
      </c>
      <c r="B228" s="45" t="s">
        <v>501</v>
      </c>
      <c r="C228" s="44" t="s">
        <v>502</v>
      </c>
      <c r="D228" s="22">
        <v>2</v>
      </c>
      <c r="E228" s="44">
        <v>577.89</v>
      </c>
      <c r="F228" s="44">
        <f t="shared" si="0"/>
        <v>1155.78</v>
      </c>
      <c r="G228" s="19" t="s">
        <v>18</v>
      </c>
      <c r="H228" s="25">
        <v>2</v>
      </c>
      <c r="I228" s="32"/>
      <c r="J228" s="33"/>
      <c r="K228" s="30"/>
      <c r="L228" s="34"/>
    </row>
    <row r="229" spans="1:12" x14ac:dyDescent="0.25">
      <c r="A229" s="35" t="s">
        <v>260</v>
      </c>
      <c r="B229" s="36" t="s">
        <v>503</v>
      </c>
      <c r="C229" s="35" t="s">
        <v>504</v>
      </c>
      <c r="D229" s="22">
        <v>2</v>
      </c>
      <c r="E229" s="46">
        <v>1670.83</v>
      </c>
      <c r="F229" s="44">
        <f t="shared" si="0"/>
        <v>3341.66</v>
      </c>
      <c r="G229" s="25" t="s">
        <v>18</v>
      </c>
      <c r="H229" s="25">
        <v>2</v>
      </c>
      <c r="I229" s="32"/>
      <c r="J229" s="33"/>
      <c r="K229" s="30"/>
      <c r="L229" s="34"/>
    </row>
    <row r="230" spans="1:12" x14ac:dyDescent="0.25">
      <c r="A230" s="44" t="s">
        <v>260</v>
      </c>
      <c r="B230" s="45" t="s">
        <v>505</v>
      </c>
      <c r="C230" s="44" t="s">
        <v>506</v>
      </c>
      <c r="D230" s="22">
        <v>2</v>
      </c>
      <c r="E230" s="44">
        <v>559.76</v>
      </c>
      <c r="F230" s="44">
        <f t="shared" si="0"/>
        <v>1119.52</v>
      </c>
      <c r="G230" s="19" t="s">
        <v>18</v>
      </c>
      <c r="H230" s="25">
        <v>2</v>
      </c>
      <c r="I230" s="32"/>
      <c r="J230" s="33"/>
      <c r="K230" s="30"/>
      <c r="L230" s="34"/>
    </row>
    <row r="231" spans="1:12" x14ac:dyDescent="0.25">
      <c r="A231" s="44" t="s">
        <v>260</v>
      </c>
      <c r="B231" s="45" t="s">
        <v>507</v>
      </c>
      <c r="C231" s="44" t="s">
        <v>508</v>
      </c>
      <c r="D231" s="22">
        <v>2</v>
      </c>
      <c r="E231" s="44">
        <v>394.97</v>
      </c>
      <c r="F231" s="44">
        <f t="shared" si="0"/>
        <v>789.94</v>
      </c>
      <c r="G231" s="19" t="s">
        <v>18</v>
      </c>
      <c r="H231" s="25">
        <v>2</v>
      </c>
      <c r="I231" s="32"/>
      <c r="J231" s="33"/>
      <c r="K231" s="30"/>
      <c r="L231" s="34"/>
    </row>
    <row r="232" spans="1:12" x14ac:dyDescent="0.25">
      <c r="A232" s="44" t="s">
        <v>260</v>
      </c>
      <c r="B232" s="45" t="s">
        <v>509</v>
      </c>
      <c r="C232" s="44" t="s">
        <v>502</v>
      </c>
      <c r="D232" s="22">
        <v>2</v>
      </c>
      <c r="E232" s="44">
        <v>1780.02</v>
      </c>
      <c r="F232" s="44">
        <f t="shared" si="0"/>
        <v>3560.04</v>
      </c>
      <c r="G232" s="19" t="s">
        <v>18</v>
      </c>
      <c r="H232" s="25">
        <v>2</v>
      </c>
      <c r="I232" s="32"/>
      <c r="J232" s="33"/>
      <c r="K232" s="30"/>
      <c r="L232" s="34"/>
    </row>
    <row r="233" spans="1:12" x14ac:dyDescent="0.25">
      <c r="A233" s="44" t="s">
        <v>260</v>
      </c>
      <c r="B233" s="45" t="s">
        <v>510</v>
      </c>
      <c r="C233" s="44" t="s">
        <v>511</v>
      </c>
      <c r="D233" s="22">
        <v>2</v>
      </c>
      <c r="E233" s="44">
        <v>1553.64</v>
      </c>
      <c r="F233" s="44">
        <f t="shared" si="0"/>
        <v>3107.28</v>
      </c>
      <c r="G233" s="25" t="s">
        <v>18</v>
      </c>
      <c r="H233" s="25">
        <v>2</v>
      </c>
      <c r="I233" s="32"/>
      <c r="J233" s="33"/>
      <c r="K233" s="30"/>
      <c r="L233" s="34"/>
    </row>
    <row r="234" spans="1:12" x14ac:dyDescent="0.25">
      <c r="A234" s="44" t="s">
        <v>260</v>
      </c>
      <c r="B234" s="45" t="s">
        <v>512</v>
      </c>
      <c r="C234" s="44" t="s">
        <v>502</v>
      </c>
      <c r="D234" s="22">
        <v>2</v>
      </c>
      <c r="E234" s="44">
        <v>1095.58</v>
      </c>
      <c r="F234" s="44">
        <f t="shared" si="0"/>
        <v>2191.16</v>
      </c>
      <c r="G234" s="25" t="s">
        <v>18</v>
      </c>
      <c r="H234" s="25">
        <v>2</v>
      </c>
      <c r="I234" s="32"/>
      <c r="J234" s="33"/>
      <c r="K234" s="30"/>
      <c r="L234" s="34"/>
    </row>
    <row r="235" spans="1:12" x14ac:dyDescent="0.25">
      <c r="A235" s="44" t="s">
        <v>260</v>
      </c>
      <c r="B235" s="45" t="s">
        <v>33</v>
      </c>
      <c r="C235" s="44" t="s">
        <v>513</v>
      </c>
      <c r="D235" s="12">
        <v>0</v>
      </c>
      <c r="E235" s="44">
        <v>2431.4299999999998</v>
      </c>
      <c r="F235" s="44">
        <f t="shared" si="0"/>
        <v>0</v>
      </c>
      <c r="G235" s="19" t="s">
        <v>18</v>
      </c>
      <c r="H235" s="25">
        <v>2</v>
      </c>
      <c r="I235" s="32"/>
      <c r="J235" s="33"/>
      <c r="K235" s="30"/>
      <c r="L235" s="34"/>
    </row>
    <row r="236" spans="1:12" x14ac:dyDescent="0.25">
      <c r="A236" s="44" t="s">
        <v>260</v>
      </c>
      <c r="B236" s="45" t="s">
        <v>514</v>
      </c>
      <c r="C236" s="44" t="s">
        <v>515</v>
      </c>
      <c r="D236" s="22">
        <v>2</v>
      </c>
      <c r="E236" s="44">
        <v>2754.49</v>
      </c>
      <c r="F236" s="44">
        <f t="shared" si="0"/>
        <v>5508.98</v>
      </c>
      <c r="G236" s="19" t="s">
        <v>18</v>
      </c>
      <c r="H236" s="25">
        <v>2</v>
      </c>
      <c r="I236" s="32"/>
      <c r="J236" s="33"/>
      <c r="K236" s="30"/>
      <c r="L236" s="34"/>
    </row>
    <row r="237" spans="1:12" x14ac:dyDescent="0.25">
      <c r="A237" s="44" t="s">
        <v>260</v>
      </c>
      <c r="B237" s="45" t="s">
        <v>514</v>
      </c>
      <c r="C237" s="44" t="s">
        <v>515</v>
      </c>
      <c r="D237" s="22">
        <v>2</v>
      </c>
      <c r="E237" s="44">
        <v>2754.49</v>
      </c>
      <c r="F237" s="44">
        <f t="shared" si="0"/>
        <v>5508.98</v>
      </c>
      <c r="G237" s="19" t="s">
        <v>18</v>
      </c>
      <c r="H237" s="25">
        <v>2</v>
      </c>
      <c r="I237" s="32"/>
      <c r="J237" s="33"/>
      <c r="K237" s="30"/>
      <c r="L237" s="34"/>
    </row>
    <row r="238" spans="1:12" x14ac:dyDescent="0.25">
      <c r="A238" s="44" t="s">
        <v>260</v>
      </c>
      <c r="B238" s="45" t="s">
        <v>516</v>
      </c>
      <c r="C238" s="44" t="s">
        <v>517</v>
      </c>
      <c r="D238" s="22">
        <v>2</v>
      </c>
      <c r="E238" s="44">
        <v>1463.07</v>
      </c>
      <c r="F238" s="44">
        <f t="shared" si="0"/>
        <v>2926.14</v>
      </c>
      <c r="G238" s="19" t="s">
        <v>18</v>
      </c>
      <c r="H238" s="25">
        <v>2</v>
      </c>
      <c r="I238" s="32"/>
      <c r="J238" s="33"/>
      <c r="K238" s="30"/>
      <c r="L238" s="34"/>
    </row>
    <row r="239" spans="1:12" x14ac:dyDescent="0.25">
      <c r="A239" s="44" t="s">
        <v>260</v>
      </c>
      <c r="B239" s="45" t="s">
        <v>414</v>
      </c>
      <c r="C239" s="44" t="s">
        <v>517</v>
      </c>
      <c r="D239" s="22">
        <v>2</v>
      </c>
      <c r="E239" s="44">
        <v>1951.42</v>
      </c>
      <c r="F239" s="44">
        <f t="shared" si="0"/>
        <v>3902.84</v>
      </c>
      <c r="G239" s="19" t="s">
        <v>18</v>
      </c>
      <c r="H239" s="25">
        <v>2</v>
      </c>
      <c r="I239" s="32"/>
      <c r="J239" s="33"/>
      <c r="K239" s="30"/>
      <c r="L239" s="34"/>
    </row>
    <row r="240" spans="1:12" x14ac:dyDescent="0.25">
      <c r="A240" s="44" t="s">
        <v>518</v>
      </c>
      <c r="B240" s="45" t="s">
        <v>519</v>
      </c>
      <c r="C240" s="44" t="s">
        <v>520</v>
      </c>
      <c r="D240" s="22">
        <v>2</v>
      </c>
      <c r="E240" s="44">
        <v>93.32</v>
      </c>
      <c r="F240" s="35">
        <f t="shared" si="0"/>
        <v>186.64</v>
      </c>
      <c r="G240" s="25" t="s">
        <v>38</v>
      </c>
      <c r="H240" s="25">
        <v>2</v>
      </c>
      <c r="I240" s="32"/>
      <c r="J240" s="33"/>
      <c r="K240" s="30"/>
      <c r="L240" s="34"/>
    </row>
    <row r="241" spans="1:12" x14ac:dyDescent="0.25">
      <c r="A241" s="44" t="s">
        <v>518</v>
      </c>
      <c r="B241" s="45" t="s">
        <v>521</v>
      </c>
      <c r="C241" s="44" t="s">
        <v>522</v>
      </c>
      <c r="D241" s="22">
        <v>2</v>
      </c>
      <c r="E241" s="44">
        <v>128.77000000000001</v>
      </c>
      <c r="F241" s="44">
        <f t="shared" si="0"/>
        <v>257.54000000000002</v>
      </c>
      <c r="G241" s="19" t="s">
        <v>18</v>
      </c>
      <c r="H241" s="25">
        <v>2</v>
      </c>
      <c r="I241" s="32"/>
      <c r="J241" s="33"/>
      <c r="K241" s="30"/>
      <c r="L241" s="34"/>
    </row>
    <row r="242" spans="1:12" x14ac:dyDescent="0.25">
      <c r="A242" s="44" t="s">
        <v>518</v>
      </c>
      <c r="B242" s="45" t="s">
        <v>523</v>
      </c>
      <c r="C242" s="44" t="s">
        <v>524</v>
      </c>
      <c r="D242" s="22">
        <v>2</v>
      </c>
      <c r="E242" s="44">
        <v>4921.6099999999997</v>
      </c>
      <c r="F242" s="44">
        <f t="shared" si="0"/>
        <v>9843.2199999999993</v>
      </c>
      <c r="G242" s="19" t="s">
        <v>18</v>
      </c>
      <c r="H242" s="25">
        <v>2</v>
      </c>
      <c r="I242" s="32"/>
      <c r="J242" s="33"/>
      <c r="K242" s="30"/>
      <c r="L242" s="34"/>
    </row>
    <row r="243" spans="1:12" x14ac:dyDescent="0.25">
      <c r="A243" s="35" t="s">
        <v>518</v>
      </c>
      <c r="B243" s="36" t="s">
        <v>525</v>
      </c>
      <c r="C243" s="35" t="s">
        <v>41</v>
      </c>
      <c r="D243" s="22">
        <v>2</v>
      </c>
      <c r="E243" s="46">
        <v>706.71</v>
      </c>
      <c r="F243" s="44">
        <f t="shared" si="0"/>
        <v>1413.42</v>
      </c>
      <c r="G243" s="25" t="s">
        <v>18</v>
      </c>
      <c r="H243" s="25">
        <v>2</v>
      </c>
      <c r="I243" s="32"/>
      <c r="J243" s="33"/>
      <c r="K243" s="30"/>
      <c r="L243" s="34"/>
    </row>
    <row r="244" spans="1:12" x14ac:dyDescent="0.25">
      <c r="A244" s="44" t="s">
        <v>518</v>
      </c>
      <c r="B244" s="45" t="s">
        <v>526</v>
      </c>
      <c r="C244" s="44" t="s">
        <v>527</v>
      </c>
      <c r="D244" s="22">
        <v>2</v>
      </c>
      <c r="E244" s="44">
        <v>1594.29</v>
      </c>
      <c r="F244" s="44">
        <f t="shared" si="0"/>
        <v>3188.58</v>
      </c>
      <c r="G244" s="19" t="s">
        <v>18</v>
      </c>
      <c r="H244" s="25">
        <v>2</v>
      </c>
      <c r="I244" s="32"/>
      <c r="J244" s="33"/>
      <c r="K244" s="30"/>
      <c r="L244" s="34"/>
    </row>
    <row r="245" spans="1:12" x14ac:dyDescent="0.25">
      <c r="A245" s="44" t="s">
        <v>528</v>
      </c>
      <c r="B245" s="45" t="s">
        <v>40</v>
      </c>
      <c r="C245" s="44" t="s">
        <v>529</v>
      </c>
      <c r="D245" s="22">
        <v>2</v>
      </c>
      <c r="E245" s="44">
        <v>687.22</v>
      </c>
      <c r="F245" s="44">
        <f t="shared" si="0"/>
        <v>1374.44</v>
      </c>
      <c r="G245" s="19" t="s">
        <v>18</v>
      </c>
      <c r="H245" s="25">
        <v>2</v>
      </c>
      <c r="I245" s="32"/>
      <c r="J245" s="33"/>
      <c r="K245" s="30"/>
      <c r="L245" s="34"/>
    </row>
    <row r="246" spans="1:12" x14ac:dyDescent="0.25">
      <c r="A246" s="44" t="s">
        <v>528</v>
      </c>
      <c r="B246" s="45" t="s">
        <v>40</v>
      </c>
      <c r="C246" s="44" t="s">
        <v>529</v>
      </c>
      <c r="D246" s="22">
        <v>2</v>
      </c>
      <c r="E246" s="44">
        <v>689.8</v>
      </c>
      <c r="F246" s="44">
        <f t="shared" si="0"/>
        <v>1379.6</v>
      </c>
      <c r="G246" s="19" t="s">
        <v>18</v>
      </c>
      <c r="H246" s="25">
        <v>2</v>
      </c>
      <c r="I246" s="32"/>
      <c r="J246" s="33"/>
      <c r="K246" s="30"/>
      <c r="L246" s="34"/>
    </row>
    <row r="247" spans="1:12" x14ac:dyDescent="0.25">
      <c r="A247" s="44" t="s">
        <v>530</v>
      </c>
      <c r="B247" s="45" t="s">
        <v>531</v>
      </c>
      <c r="C247" s="44" t="s">
        <v>532</v>
      </c>
      <c r="D247" s="22">
        <v>2</v>
      </c>
      <c r="E247" s="44">
        <v>72.569999999999993</v>
      </c>
      <c r="F247" s="44">
        <f t="shared" si="0"/>
        <v>145.13999999999999</v>
      </c>
      <c r="G247" s="19" t="s">
        <v>50</v>
      </c>
      <c r="H247" s="25">
        <v>2</v>
      </c>
      <c r="I247" s="32"/>
      <c r="J247" s="33"/>
      <c r="K247" s="30"/>
      <c r="L247" s="34"/>
    </row>
    <row r="248" spans="1:12" x14ac:dyDescent="0.25">
      <c r="A248" s="35" t="s">
        <v>530</v>
      </c>
      <c r="B248" s="36" t="s">
        <v>533</v>
      </c>
      <c r="C248" s="35" t="s">
        <v>534</v>
      </c>
      <c r="D248" s="22">
        <v>2</v>
      </c>
      <c r="E248" s="46">
        <v>343.04</v>
      </c>
      <c r="F248" s="44">
        <f t="shared" si="0"/>
        <v>686.08</v>
      </c>
      <c r="G248" s="25" t="s">
        <v>50</v>
      </c>
      <c r="H248" s="25">
        <v>2</v>
      </c>
      <c r="I248" s="32"/>
      <c r="J248" s="33"/>
      <c r="K248" s="30"/>
      <c r="L248" s="34"/>
    </row>
    <row r="249" spans="1:12" x14ac:dyDescent="0.25">
      <c r="A249" s="44" t="s">
        <v>530</v>
      </c>
      <c r="B249" s="45" t="s">
        <v>531</v>
      </c>
      <c r="C249" s="44" t="s">
        <v>532</v>
      </c>
      <c r="D249" s="22">
        <v>2</v>
      </c>
      <c r="E249" s="44">
        <v>74.06</v>
      </c>
      <c r="F249" s="44">
        <f t="shared" si="0"/>
        <v>148.12</v>
      </c>
      <c r="G249" s="19" t="s">
        <v>50</v>
      </c>
      <c r="H249" s="25">
        <v>2</v>
      </c>
      <c r="I249" s="32"/>
      <c r="J249" s="33"/>
      <c r="K249" s="30"/>
      <c r="L249" s="34"/>
    </row>
    <row r="250" spans="1:12" x14ac:dyDescent="0.25">
      <c r="A250" s="44" t="s">
        <v>535</v>
      </c>
      <c r="B250" s="45" t="s">
        <v>536</v>
      </c>
      <c r="C250" s="44" t="s">
        <v>537</v>
      </c>
      <c r="D250" s="22">
        <v>2</v>
      </c>
      <c r="E250" s="44">
        <v>373.13</v>
      </c>
      <c r="F250" s="44">
        <f t="shared" si="0"/>
        <v>746.26</v>
      </c>
      <c r="G250" s="19" t="s">
        <v>18</v>
      </c>
      <c r="H250" s="25">
        <v>2</v>
      </c>
      <c r="I250" s="32"/>
      <c r="J250" s="33"/>
      <c r="K250" s="30"/>
      <c r="L250" s="34"/>
    </row>
    <row r="251" spans="1:12" x14ac:dyDescent="0.25">
      <c r="A251" s="44" t="s">
        <v>538</v>
      </c>
      <c r="B251" s="45" t="s">
        <v>539</v>
      </c>
      <c r="C251" s="44" t="s">
        <v>540</v>
      </c>
      <c r="D251" s="22">
        <v>2</v>
      </c>
      <c r="E251" s="44">
        <v>1979.14</v>
      </c>
      <c r="F251" s="44">
        <f t="shared" si="0"/>
        <v>3958.28</v>
      </c>
      <c r="G251" s="47" t="s">
        <v>18</v>
      </c>
      <c r="H251" s="25">
        <v>2</v>
      </c>
      <c r="I251" s="32"/>
      <c r="J251" s="33"/>
      <c r="K251" s="30"/>
      <c r="L251" s="34"/>
    </row>
    <row r="252" spans="1:12" x14ac:dyDescent="0.25">
      <c r="A252" s="44" t="s">
        <v>541</v>
      </c>
      <c r="B252" s="45" t="s">
        <v>542</v>
      </c>
      <c r="C252" s="44" t="s">
        <v>543</v>
      </c>
      <c r="D252" s="22">
        <v>2</v>
      </c>
      <c r="E252" s="44">
        <v>1863.98</v>
      </c>
      <c r="F252" s="44">
        <f t="shared" si="0"/>
        <v>3727.96</v>
      </c>
      <c r="G252" s="19" t="s">
        <v>18</v>
      </c>
      <c r="H252" s="25">
        <v>2</v>
      </c>
      <c r="I252" s="32"/>
      <c r="J252" s="33"/>
      <c r="K252" s="30"/>
      <c r="L252" s="34"/>
    </row>
    <row r="253" spans="1:12" x14ac:dyDescent="0.25">
      <c r="A253" s="44" t="s">
        <v>397</v>
      </c>
      <c r="B253" s="45" t="s">
        <v>544</v>
      </c>
      <c r="C253" s="44" t="s">
        <v>545</v>
      </c>
      <c r="D253" s="22">
        <v>2</v>
      </c>
      <c r="E253" s="44">
        <v>3987.74</v>
      </c>
      <c r="F253" s="44">
        <f t="shared" si="0"/>
        <v>7975.48</v>
      </c>
      <c r="G253" s="19" t="s">
        <v>18</v>
      </c>
      <c r="H253" s="25">
        <v>2</v>
      </c>
      <c r="I253" s="32"/>
      <c r="J253" s="33"/>
      <c r="K253" s="30"/>
      <c r="L253" s="34"/>
    </row>
    <row r="254" spans="1:12" x14ac:dyDescent="0.25">
      <c r="A254" s="44" t="s">
        <v>397</v>
      </c>
      <c r="B254" s="45" t="s">
        <v>546</v>
      </c>
      <c r="C254" s="44" t="s">
        <v>547</v>
      </c>
      <c r="D254" s="22">
        <v>2</v>
      </c>
      <c r="E254" s="44">
        <v>61.68</v>
      </c>
      <c r="F254" s="44">
        <f t="shared" si="0"/>
        <v>123.36</v>
      </c>
      <c r="G254" s="19" t="s">
        <v>18</v>
      </c>
      <c r="H254" s="25">
        <v>2</v>
      </c>
      <c r="I254" s="32"/>
      <c r="J254" s="33"/>
      <c r="K254" s="30"/>
      <c r="L254" s="34"/>
    </row>
    <row r="255" spans="1:12" x14ac:dyDescent="0.25">
      <c r="A255" s="44" t="s">
        <v>397</v>
      </c>
      <c r="B255" s="45" t="s">
        <v>45</v>
      </c>
      <c r="C255" s="44" t="s">
        <v>548</v>
      </c>
      <c r="D255" s="22">
        <v>2</v>
      </c>
      <c r="E255" s="44">
        <v>452.57</v>
      </c>
      <c r="F255" s="44">
        <f t="shared" si="0"/>
        <v>905.14</v>
      </c>
      <c r="G255" s="19" t="s">
        <v>18</v>
      </c>
      <c r="H255" s="25">
        <v>2</v>
      </c>
      <c r="I255" s="32"/>
      <c r="J255" s="33"/>
      <c r="K255" s="30"/>
      <c r="L255" s="34"/>
    </row>
    <row r="256" spans="1:12" x14ac:dyDescent="0.25">
      <c r="A256" s="35" t="s">
        <v>397</v>
      </c>
      <c r="B256" s="36" t="s">
        <v>549</v>
      </c>
      <c r="C256" s="35" t="s">
        <v>550</v>
      </c>
      <c r="D256" s="22">
        <v>2</v>
      </c>
      <c r="E256" s="46">
        <v>6979.21</v>
      </c>
      <c r="F256" s="44">
        <f t="shared" si="0"/>
        <v>13958.42</v>
      </c>
      <c r="G256" s="25" t="s">
        <v>18</v>
      </c>
      <c r="H256" s="25">
        <v>2</v>
      </c>
      <c r="I256" s="32"/>
      <c r="J256" s="33"/>
      <c r="K256" s="30"/>
      <c r="L256" s="34"/>
    </row>
    <row r="257" spans="1:12" x14ac:dyDescent="0.25">
      <c r="A257" s="35" t="s">
        <v>397</v>
      </c>
      <c r="B257" s="36" t="s">
        <v>551</v>
      </c>
      <c r="C257" s="35" t="s">
        <v>552</v>
      </c>
      <c r="D257" s="22">
        <v>2</v>
      </c>
      <c r="E257" s="46">
        <v>6941.3</v>
      </c>
      <c r="F257" s="44">
        <f t="shared" si="0"/>
        <v>13882.6</v>
      </c>
      <c r="G257" s="25" t="s">
        <v>18</v>
      </c>
      <c r="H257" s="25">
        <v>2</v>
      </c>
      <c r="I257" s="32"/>
      <c r="J257" s="33"/>
      <c r="K257" s="30"/>
      <c r="L257" s="34"/>
    </row>
    <row r="258" spans="1:12" x14ac:dyDescent="0.25">
      <c r="A258" s="44" t="s">
        <v>397</v>
      </c>
      <c r="B258" s="45" t="s">
        <v>553</v>
      </c>
      <c r="C258" s="44" t="s">
        <v>545</v>
      </c>
      <c r="D258" s="22">
        <v>2</v>
      </c>
      <c r="E258" s="44">
        <v>4390.57</v>
      </c>
      <c r="F258" s="44">
        <f t="shared" si="0"/>
        <v>8781.14</v>
      </c>
      <c r="G258" s="25" t="s">
        <v>18</v>
      </c>
      <c r="H258" s="25">
        <v>2</v>
      </c>
      <c r="I258" s="32"/>
      <c r="J258" s="33"/>
      <c r="K258" s="30"/>
      <c r="L258" s="34"/>
    </row>
    <row r="259" spans="1:12" x14ac:dyDescent="0.25">
      <c r="A259" s="44" t="s">
        <v>397</v>
      </c>
      <c r="B259" s="45" t="s">
        <v>554</v>
      </c>
      <c r="C259" s="44" t="s">
        <v>555</v>
      </c>
      <c r="D259" s="22">
        <v>2</v>
      </c>
      <c r="E259" s="44">
        <v>970.42</v>
      </c>
      <c r="F259" s="35">
        <f t="shared" si="0"/>
        <v>1940.84</v>
      </c>
      <c r="G259" s="19" t="s">
        <v>18</v>
      </c>
      <c r="H259" s="25">
        <v>2</v>
      </c>
      <c r="I259" s="32"/>
      <c r="J259" s="33"/>
      <c r="K259" s="30"/>
      <c r="L259" s="34"/>
    </row>
    <row r="260" spans="1:12" x14ac:dyDescent="0.25">
      <c r="A260" s="44" t="s">
        <v>397</v>
      </c>
      <c r="B260" s="45" t="s">
        <v>556</v>
      </c>
      <c r="C260" s="44" t="s">
        <v>557</v>
      </c>
      <c r="D260" s="22">
        <v>2</v>
      </c>
      <c r="E260" s="44">
        <v>1306.75</v>
      </c>
      <c r="F260" s="35">
        <f t="shared" si="0"/>
        <v>2613.5</v>
      </c>
      <c r="G260" s="19" t="s">
        <v>18</v>
      </c>
      <c r="H260" s="25">
        <v>2</v>
      </c>
      <c r="I260" s="32"/>
      <c r="J260" s="33"/>
      <c r="K260" s="30"/>
      <c r="L260" s="34"/>
    </row>
    <row r="261" spans="1:12" x14ac:dyDescent="0.25">
      <c r="A261" s="44" t="s">
        <v>397</v>
      </c>
      <c r="B261" s="45" t="s">
        <v>43</v>
      </c>
      <c r="C261" s="44" t="s">
        <v>558</v>
      </c>
      <c r="D261" s="22">
        <v>2</v>
      </c>
      <c r="E261" s="44">
        <v>32.01</v>
      </c>
      <c r="F261" s="35">
        <f t="shared" si="0"/>
        <v>64.02</v>
      </c>
      <c r="G261" s="19" t="s">
        <v>18</v>
      </c>
      <c r="H261" s="25">
        <v>2</v>
      </c>
      <c r="I261" s="32"/>
      <c r="J261" s="33"/>
      <c r="K261" s="30"/>
      <c r="L261" s="34"/>
    </row>
    <row r="262" spans="1:12" x14ac:dyDescent="0.25">
      <c r="A262" s="44" t="s">
        <v>397</v>
      </c>
      <c r="B262" s="45" t="s">
        <v>559</v>
      </c>
      <c r="C262" s="44" t="s">
        <v>560</v>
      </c>
      <c r="D262" s="22">
        <v>2</v>
      </c>
      <c r="E262" s="44">
        <v>802.52</v>
      </c>
      <c r="F262" s="44">
        <f t="shared" si="0"/>
        <v>1605.04</v>
      </c>
      <c r="G262" s="19" t="s">
        <v>18</v>
      </c>
      <c r="H262" s="25">
        <v>2</v>
      </c>
      <c r="I262" s="32"/>
      <c r="J262" s="33"/>
      <c r="K262" s="30"/>
      <c r="L262" s="34"/>
    </row>
    <row r="263" spans="1:12" x14ac:dyDescent="0.25">
      <c r="A263" s="44" t="s">
        <v>397</v>
      </c>
      <c r="B263" s="45" t="s">
        <v>561</v>
      </c>
      <c r="C263" s="44" t="s">
        <v>502</v>
      </c>
      <c r="D263" s="22">
        <v>2</v>
      </c>
      <c r="E263" s="44">
        <v>1180.56</v>
      </c>
      <c r="F263" s="44">
        <f t="shared" si="0"/>
        <v>2361.12</v>
      </c>
      <c r="G263" s="19" t="s">
        <v>18</v>
      </c>
      <c r="H263" s="25">
        <v>2</v>
      </c>
      <c r="I263" s="32"/>
      <c r="J263" s="33"/>
      <c r="K263" s="30"/>
      <c r="L263" s="34"/>
    </row>
    <row r="264" spans="1:12" x14ac:dyDescent="0.25">
      <c r="A264" s="44" t="s">
        <v>397</v>
      </c>
      <c r="B264" s="45" t="s">
        <v>43</v>
      </c>
      <c r="C264" s="44" t="s">
        <v>558</v>
      </c>
      <c r="D264" s="22">
        <v>2</v>
      </c>
      <c r="E264" s="44">
        <v>32.01</v>
      </c>
      <c r="F264" s="44">
        <f t="shared" si="0"/>
        <v>64.02</v>
      </c>
      <c r="G264" s="47" t="s">
        <v>18</v>
      </c>
      <c r="H264" s="25">
        <v>2</v>
      </c>
      <c r="I264" s="32"/>
      <c r="J264" s="33"/>
      <c r="K264" s="30"/>
      <c r="L264" s="34"/>
    </row>
    <row r="265" spans="1:12" x14ac:dyDescent="0.25">
      <c r="A265" s="44" t="s">
        <v>562</v>
      </c>
      <c r="B265" s="45" t="s">
        <v>563</v>
      </c>
      <c r="C265" s="44" t="s">
        <v>564</v>
      </c>
      <c r="D265" s="22">
        <v>2</v>
      </c>
      <c r="E265" s="44">
        <v>478.44</v>
      </c>
      <c r="F265" s="44">
        <f t="shared" si="0"/>
        <v>956.88</v>
      </c>
      <c r="G265" s="19" t="s">
        <v>50</v>
      </c>
      <c r="H265" s="25">
        <v>2</v>
      </c>
      <c r="I265" s="32"/>
      <c r="J265" s="33"/>
      <c r="K265" s="30"/>
      <c r="L265" s="34"/>
    </row>
    <row r="266" spans="1:12" x14ac:dyDescent="0.25">
      <c r="A266" s="44" t="s">
        <v>562</v>
      </c>
      <c r="B266" s="45" t="s">
        <v>565</v>
      </c>
      <c r="C266" s="44" t="s">
        <v>566</v>
      </c>
      <c r="D266" s="22">
        <v>2</v>
      </c>
      <c r="E266" s="44">
        <v>845.04</v>
      </c>
      <c r="F266" s="44">
        <f t="shared" si="0"/>
        <v>1690.08</v>
      </c>
      <c r="G266" s="25" t="s">
        <v>18</v>
      </c>
      <c r="H266" s="25">
        <v>2</v>
      </c>
      <c r="I266" s="32"/>
      <c r="J266" s="33"/>
      <c r="K266" s="30"/>
      <c r="L266" s="34"/>
    </row>
    <row r="267" spans="1:12" x14ac:dyDescent="0.25">
      <c r="A267" s="44" t="s">
        <v>562</v>
      </c>
      <c r="B267" s="45" t="s">
        <v>567</v>
      </c>
      <c r="C267" s="44" t="s">
        <v>568</v>
      </c>
      <c r="D267" s="22">
        <v>2</v>
      </c>
      <c r="E267" s="44">
        <v>548.28</v>
      </c>
      <c r="F267" s="44">
        <f t="shared" si="0"/>
        <v>1096.56</v>
      </c>
      <c r="G267" s="19" t="s">
        <v>50</v>
      </c>
      <c r="H267" s="25">
        <v>2</v>
      </c>
      <c r="I267" s="32"/>
      <c r="J267" s="33"/>
      <c r="K267" s="30"/>
      <c r="L267" s="34"/>
    </row>
    <row r="268" spans="1:12" x14ac:dyDescent="0.25">
      <c r="A268" s="44" t="s">
        <v>562</v>
      </c>
      <c r="B268" s="45" t="s">
        <v>565</v>
      </c>
      <c r="C268" s="44" t="s">
        <v>566</v>
      </c>
      <c r="D268" s="22">
        <v>2</v>
      </c>
      <c r="E268" s="44">
        <v>834</v>
      </c>
      <c r="F268" s="44">
        <f t="shared" si="0"/>
        <v>1668</v>
      </c>
      <c r="G268" s="19" t="s">
        <v>18</v>
      </c>
      <c r="H268" s="25">
        <v>2</v>
      </c>
      <c r="I268" s="32"/>
      <c r="J268" s="33"/>
      <c r="K268" s="30"/>
      <c r="L268" s="34"/>
    </row>
    <row r="269" spans="1:12" x14ac:dyDescent="0.25">
      <c r="A269" s="44" t="s">
        <v>569</v>
      </c>
      <c r="B269" s="45" t="s">
        <v>570</v>
      </c>
      <c r="C269" s="44" t="s">
        <v>571</v>
      </c>
      <c r="D269" s="22">
        <v>2</v>
      </c>
      <c r="E269" s="44">
        <v>2795.44</v>
      </c>
      <c r="F269" s="44">
        <f t="shared" si="0"/>
        <v>5590.88</v>
      </c>
      <c r="G269" s="19" t="s">
        <v>50</v>
      </c>
      <c r="H269" s="25">
        <v>2</v>
      </c>
      <c r="I269" s="32"/>
      <c r="J269" s="33"/>
      <c r="K269" s="30"/>
      <c r="L269" s="34"/>
    </row>
    <row r="270" spans="1:12" x14ac:dyDescent="0.25">
      <c r="A270" s="44" t="s">
        <v>572</v>
      </c>
      <c r="B270" s="45" t="s">
        <v>573</v>
      </c>
      <c r="C270" s="44" t="s">
        <v>574</v>
      </c>
      <c r="D270" s="22">
        <v>2</v>
      </c>
      <c r="E270" s="44">
        <v>805.22</v>
      </c>
      <c r="F270" s="44">
        <f t="shared" si="0"/>
        <v>1610.44</v>
      </c>
      <c r="G270" s="47" t="s">
        <v>50</v>
      </c>
      <c r="H270" s="25">
        <v>2</v>
      </c>
      <c r="I270" s="32"/>
      <c r="J270" s="33"/>
      <c r="K270" s="30"/>
      <c r="L270" s="34"/>
    </row>
    <row r="271" spans="1:12" x14ac:dyDescent="0.25">
      <c r="A271" s="44" t="s">
        <v>572</v>
      </c>
      <c r="B271" s="45" t="s">
        <v>575</v>
      </c>
      <c r="C271" s="44" t="s">
        <v>576</v>
      </c>
      <c r="D271" s="22">
        <v>2</v>
      </c>
      <c r="E271" s="44">
        <v>4305.92</v>
      </c>
      <c r="F271" s="44">
        <f t="shared" si="0"/>
        <v>8611.84</v>
      </c>
      <c r="G271" s="19" t="s">
        <v>38</v>
      </c>
      <c r="H271" s="25">
        <v>2</v>
      </c>
      <c r="I271" s="32"/>
      <c r="J271" s="33"/>
      <c r="K271" s="30"/>
      <c r="L271" s="34"/>
    </row>
    <row r="272" spans="1:12" x14ac:dyDescent="0.25">
      <c r="A272" s="44" t="s">
        <v>572</v>
      </c>
      <c r="B272" s="45" t="s">
        <v>577</v>
      </c>
      <c r="C272" s="44" t="s">
        <v>578</v>
      </c>
      <c r="D272" s="22">
        <v>2</v>
      </c>
      <c r="E272" s="44">
        <v>2620.88</v>
      </c>
      <c r="F272" s="35">
        <f t="shared" si="0"/>
        <v>5241.76</v>
      </c>
      <c r="G272" s="25" t="s">
        <v>38</v>
      </c>
      <c r="H272" s="25">
        <v>2</v>
      </c>
      <c r="I272" s="32"/>
      <c r="J272" s="33"/>
      <c r="K272" s="30"/>
      <c r="L272" s="34"/>
    </row>
    <row r="273" spans="1:12" x14ac:dyDescent="0.25">
      <c r="A273" s="44" t="s">
        <v>572</v>
      </c>
      <c r="B273" s="45" t="s">
        <v>579</v>
      </c>
      <c r="C273" s="44" t="s">
        <v>580</v>
      </c>
      <c r="D273" s="22">
        <v>2</v>
      </c>
      <c r="E273" s="44">
        <v>1087.5</v>
      </c>
      <c r="F273" s="44">
        <f t="shared" si="0"/>
        <v>2175</v>
      </c>
      <c r="G273" s="47" t="s">
        <v>50</v>
      </c>
      <c r="H273" s="25">
        <v>2</v>
      </c>
      <c r="I273" s="32"/>
      <c r="J273" s="33"/>
      <c r="K273" s="30"/>
      <c r="L273" s="34"/>
    </row>
    <row r="274" spans="1:12" x14ac:dyDescent="0.25">
      <c r="A274" s="44" t="s">
        <v>572</v>
      </c>
      <c r="B274" s="45" t="s">
        <v>581</v>
      </c>
      <c r="C274" s="44" t="s">
        <v>466</v>
      </c>
      <c r="D274" s="22">
        <v>2</v>
      </c>
      <c r="E274" s="44">
        <v>938.2</v>
      </c>
      <c r="F274" s="44">
        <f t="shared" si="0"/>
        <v>1876.4</v>
      </c>
      <c r="G274" s="19" t="s">
        <v>18</v>
      </c>
      <c r="H274" s="25">
        <v>2</v>
      </c>
      <c r="I274" s="32"/>
      <c r="J274" s="33"/>
      <c r="K274" s="30"/>
      <c r="L274" s="34"/>
    </row>
    <row r="275" spans="1:12" x14ac:dyDescent="0.25">
      <c r="A275" s="44" t="s">
        <v>582</v>
      </c>
      <c r="B275" s="45" t="s">
        <v>583</v>
      </c>
      <c r="C275" s="44" t="s">
        <v>584</v>
      </c>
      <c r="D275" s="22">
        <v>2</v>
      </c>
      <c r="E275" s="44">
        <v>4307.2299999999996</v>
      </c>
      <c r="F275" s="44">
        <f t="shared" si="0"/>
        <v>8614.4599999999991</v>
      </c>
      <c r="G275" s="19" t="s">
        <v>38</v>
      </c>
      <c r="H275" s="25">
        <v>2</v>
      </c>
      <c r="I275" s="32"/>
      <c r="J275" s="33"/>
      <c r="K275" s="30"/>
      <c r="L275" s="34"/>
    </row>
    <row r="276" spans="1:12" x14ac:dyDescent="0.25">
      <c r="A276" s="44" t="s">
        <v>585</v>
      </c>
      <c r="B276" s="45" t="s">
        <v>586</v>
      </c>
      <c r="C276" s="44" t="s">
        <v>587</v>
      </c>
      <c r="D276" s="22">
        <v>2</v>
      </c>
      <c r="E276" s="44">
        <v>6706.34</v>
      </c>
      <c r="F276" s="44">
        <f t="shared" si="0"/>
        <v>13412.68</v>
      </c>
      <c r="G276" s="19" t="s">
        <v>18</v>
      </c>
      <c r="H276" s="25">
        <v>2</v>
      </c>
      <c r="I276" s="32"/>
      <c r="J276" s="33"/>
      <c r="K276" s="30"/>
      <c r="L276" s="34"/>
    </row>
    <row r="277" spans="1:12" x14ac:dyDescent="0.25">
      <c r="A277" s="44" t="s">
        <v>585</v>
      </c>
      <c r="B277" s="45" t="s">
        <v>586</v>
      </c>
      <c r="C277" s="44" t="s">
        <v>587</v>
      </c>
      <c r="D277" s="22">
        <v>2</v>
      </c>
      <c r="E277" s="44">
        <v>6627.84</v>
      </c>
      <c r="F277" s="44">
        <f t="shared" si="0"/>
        <v>13255.68</v>
      </c>
      <c r="G277" s="19" t="s">
        <v>18</v>
      </c>
      <c r="H277" s="25">
        <v>2</v>
      </c>
      <c r="I277" s="32"/>
      <c r="J277" s="33"/>
      <c r="K277" s="30"/>
      <c r="L277" s="34"/>
    </row>
    <row r="278" spans="1:12" x14ac:dyDescent="0.25">
      <c r="A278" s="44" t="s">
        <v>585</v>
      </c>
      <c r="B278" s="45" t="s">
        <v>586</v>
      </c>
      <c r="C278" s="44" t="s">
        <v>587</v>
      </c>
      <c r="D278" s="22">
        <v>2</v>
      </c>
      <c r="E278" s="44">
        <v>6627.84</v>
      </c>
      <c r="F278" s="44">
        <f t="shared" si="0"/>
        <v>13255.68</v>
      </c>
      <c r="G278" s="19" t="s">
        <v>18</v>
      </c>
      <c r="H278" s="25">
        <v>2</v>
      </c>
      <c r="I278" s="32"/>
      <c r="J278" s="33"/>
      <c r="K278" s="30"/>
      <c r="L278" s="34"/>
    </row>
    <row r="279" spans="1:12" x14ac:dyDescent="0.25">
      <c r="A279" s="44" t="s">
        <v>585</v>
      </c>
      <c r="B279" s="45" t="s">
        <v>588</v>
      </c>
      <c r="C279" s="44" t="s">
        <v>589</v>
      </c>
      <c r="D279" s="22">
        <v>2</v>
      </c>
      <c r="E279" s="44">
        <v>1354.49</v>
      </c>
      <c r="F279" s="35">
        <f t="shared" si="0"/>
        <v>2708.98</v>
      </c>
      <c r="G279" s="19" t="s">
        <v>18</v>
      </c>
      <c r="H279" s="25">
        <v>2</v>
      </c>
      <c r="I279" s="32"/>
      <c r="J279" s="33"/>
      <c r="K279" s="30"/>
      <c r="L279" s="34"/>
    </row>
    <row r="280" spans="1:12" x14ac:dyDescent="0.25">
      <c r="A280" s="44" t="s">
        <v>585</v>
      </c>
      <c r="B280" s="45" t="s">
        <v>590</v>
      </c>
      <c r="C280" s="44" t="s">
        <v>591</v>
      </c>
      <c r="D280" s="22">
        <v>2</v>
      </c>
      <c r="E280" s="44">
        <v>895.06</v>
      </c>
      <c r="F280" s="44">
        <f t="shared" si="0"/>
        <v>1790.12</v>
      </c>
      <c r="G280" s="19" t="s">
        <v>18</v>
      </c>
      <c r="H280" s="25">
        <v>2</v>
      </c>
      <c r="I280" s="32"/>
      <c r="J280" s="33"/>
      <c r="K280" s="30"/>
      <c r="L280" s="34"/>
    </row>
    <row r="281" spans="1:12" x14ac:dyDescent="0.25">
      <c r="A281" s="44" t="s">
        <v>585</v>
      </c>
      <c r="B281" s="45" t="s">
        <v>592</v>
      </c>
      <c r="C281" s="44" t="s">
        <v>593</v>
      </c>
      <c r="D281" s="22">
        <v>2</v>
      </c>
      <c r="E281" s="44">
        <v>1877.5</v>
      </c>
      <c r="F281" s="44">
        <f t="shared" si="0"/>
        <v>3755</v>
      </c>
      <c r="G281" s="19" t="s">
        <v>18</v>
      </c>
      <c r="H281" s="25">
        <v>2</v>
      </c>
      <c r="I281" s="32"/>
      <c r="J281" s="33"/>
      <c r="K281" s="30"/>
      <c r="L281" s="34"/>
    </row>
    <row r="282" spans="1:12" x14ac:dyDescent="0.25">
      <c r="A282" s="44" t="s">
        <v>278</v>
      </c>
      <c r="B282" s="45" t="s">
        <v>594</v>
      </c>
      <c r="C282" s="44" t="s">
        <v>595</v>
      </c>
      <c r="D282" s="22">
        <v>2</v>
      </c>
      <c r="E282" s="44">
        <v>2416.1799999999998</v>
      </c>
      <c r="F282" s="44">
        <f t="shared" si="0"/>
        <v>4832.3599999999997</v>
      </c>
      <c r="G282" s="47" t="s">
        <v>50</v>
      </c>
      <c r="H282" s="25">
        <v>2</v>
      </c>
      <c r="I282" s="32"/>
      <c r="J282" s="33"/>
      <c r="K282" s="30"/>
      <c r="L282" s="34"/>
    </row>
    <row r="283" spans="1:12" x14ac:dyDescent="0.25">
      <c r="A283" s="44" t="s">
        <v>278</v>
      </c>
      <c r="B283" s="45" t="s">
        <v>596</v>
      </c>
      <c r="C283" s="44" t="s">
        <v>597</v>
      </c>
      <c r="D283" s="22">
        <v>2</v>
      </c>
      <c r="E283" s="44">
        <v>7666.14</v>
      </c>
      <c r="F283" s="44">
        <f t="shared" si="0"/>
        <v>15332.28</v>
      </c>
      <c r="G283" s="25" t="s">
        <v>18</v>
      </c>
      <c r="H283" s="25">
        <v>2</v>
      </c>
      <c r="I283" s="32"/>
      <c r="J283" s="33"/>
      <c r="K283" s="30"/>
      <c r="L283" s="34"/>
    </row>
    <row r="284" spans="1:12" x14ac:dyDescent="0.25">
      <c r="A284" s="44" t="s">
        <v>598</v>
      </c>
      <c r="B284" s="45" t="s">
        <v>599</v>
      </c>
      <c r="C284" s="44" t="s">
        <v>600</v>
      </c>
      <c r="D284" s="22">
        <v>2</v>
      </c>
      <c r="E284" s="44">
        <v>3621.96</v>
      </c>
      <c r="F284" s="44">
        <f t="shared" si="0"/>
        <v>7243.92</v>
      </c>
      <c r="G284" s="19" t="s">
        <v>18</v>
      </c>
      <c r="H284" s="25">
        <v>2</v>
      </c>
      <c r="I284" s="32"/>
      <c r="J284" s="33"/>
      <c r="K284" s="30"/>
      <c r="L284" s="34"/>
    </row>
    <row r="285" spans="1:12" x14ac:dyDescent="0.25">
      <c r="A285" s="35" t="s">
        <v>601</v>
      </c>
      <c r="B285" s="36" t="s">
        <v>602</v>
      </c>
      <c r="C285" s="35" t="s">
        <v>603</v>
      </c>
      <c r="D285" s="22">
        <v>2</v>
      </c>
      <c r="E285" s="46">
        <v>823.83</v>
      </c>
      <c r="F285" s="44">
        <f t="shared" si="0"/>
        <v>1647.66</v>
      </c>
      <c r="G285" s="25" t="s">
        <v>18</v>
      </c>
      <c r="H285" s="25">
        <v>2</v>
      </c>
      <c r="I285" s="32"/>
      <c r="J285" s="33"/>
      <c r="K285" s="30"/>
      <c r="L285" s="34"/>
    </row>
    <row r="286" spans="1:12" x14ac:dyDescent="0.25">
      <c r="A286" s="44" t="s">
        <v>326</v>
      </c>
      <c r="B286" s="45" t="s">
        <v>604</v>
      </c>
      <c r="C286" s="44" t="s">
        <v>605</v>
      </c>
      <c r="D286" s="22">
        <v>2</v>
      </c>
      <c r="E286" s="44">
        <v>156.13</v>
      </c>
      <c r="F286" s="44">
        <f t="shared" si="0"/>
        <v>312.26</v>
      </c>
      <c r="G286" s="47" t="s">
        <v>18</v>
      </c>
      <c r="H286" s="25">
        <v>2</v>
      </c>
      <c r="I286" s="32"/>
      <c r="J286" s="33"/>
      <c r="K286" s="30"/>
      <c r="L286" s="34"/>
    </row>
    <row r="287" spans="1:12" x14ac:dyDescent="0.25">
      <c r="A287" s="44" t="s">
        <v>326</v>
      </c>
      <c r="B287" s="45" t="s">
        <v>606</v>
      </c>
      <c r="C287" s="44" t="s">
        <v>607</v>
      </c>
      <c r="D287" s="22">
        <v>2</v>
      </c>
      <c r="E287" s="44">
        <v>444.21</v>
      </c>
      <c r="F287" s="44">
        <f t="shared" si="0"/>
        <v>888.42</v>
      </c>
      <c r="G287" s="47" t="s">
        <v>18</v>
      </c>
      <c r="H287" s="25">
        <v>2</v>
      </c>
      <c r="I287" s="32"/>
      <c r="J287" s="33"/>
      <c r="K287" s="30"/>
      <c r="L287" s="34"/>
    </row>
    <row r="288" spans="1:12" x14ac:dyDescent="0.25">
      <c r="A288" s="44" t="s">
        <v>608</v>
      </c>
      <c r="B288" s="45" t="s">
        <v>609</v>
      </c>
      <c r="C288" s="44" t="s">
        <v>610</v>
      </c>
      <c r="D288" s="22">
        <v>2</v>
      </c>
      <c r="E288" s="44">
        <v>1799.89</v>
      </c>
      <c r="F288" s="44">
        <f t="shared" si="0"/>
        <v>3599.78</v>
      </c>
      <c r="G288" s="19" t="s">
        <v>38</v>
      </c>
      <c r="H288" s="25">
        <v>2</v>
      </c>
      <c r="I288" s="32"/>
      <c r="J288" s="33"/>
      <c r="K288" s="30"/>
      <c r="L288" s="34"/>
    </row>
    <row r="289" spans="1:12" x14ac:dyDescent="0.25">
      <c r="A289" s="44" t="s">
        <v>608</v>
      </c>
      <c r="B289" s="45" t="s">
        <v>611</v>
      </c>
      <c r="C289" s="44" t="s">
        <v>612</v>
      </c>
      <c r="D289" s="22">
        <v>2</v>
      </c>
      <c r="E289" s="44">
        <v>688.89</v>
      </c>
      <c r="F289" s="35">
        <f t="shared" si="0"/>
        <v>1377.78</v>
      </c>
      <c r="G289" s="25" t="s">
        <v>38</v>
      </c>
      <c r="H289" s="25">
        <v>2</v>
      </c>
      <c r="I289" s="32"/>
      <c r="J289" s="33"/>
      <c r="K289" s="30"/>
      <c r="L289" s="34"/>
    </row>
    <row r="290" spans="1:12" x14ac:dyDescent="0.25">
      <c r="A290" s="44" t="s">
        <v>613</v>
      </c>
      <c r="B290" s="45" t="s">
        <v>614</v>
      </c>
      <c r="C290" s="44" t="s">
        <v>532</v>
      </c>
      <c r="D290" s="22">
        <v>2</v>
      </c>
      <c r="E290" s="44">
        <v>1706.8</v>
      </c>
      <c r="F290" s="44">
        <f t="shared" si="0"/>
        <v>3413.6</v>
      </c>
      <c r="G290" s="19" t="s">
        <v>38</v>
      </c>
      <c r="H290" s="25">
        <v>2</v>
      </c>
      <c r="I290" s="32"/>
      <c r="J290" s="33"/>
      <c r="K290" s="30"/>
      <c r="L290" s="34"/>
    </row>
    <row r="291" spans="1:12" x14ac:dyDescent="0.25">
      <c r="A291" s="44" t="s">
        <v>615</v>
      </c>
      <c r="B291" s="45" t="s">
        <v>616</v>
      </c>
      <c r="C291" s="44" t="s">
        <v>88</v>
      </c>
      <c r="D291" s="22">
        <v>2</v>
      </c>
      <c r="E291" s="44">
        <v>526.58000000000004</v>
      </c>
      <c r="F291" s="44">
        <f t="shared" ref="F291:F354" si="1">E291*D291</f>
        <v>1053.1600000000001</v>
      </c>
      <c r="G291" s="47" t="s">
        <v>50</v>
      </c>
      <c r="H291" s="25">
        <v>2</v>
      </c>
      <c r="I291" s="32"/>
      <c r="J291" s="33"/>
      <c r="K291" s="30"/>
      <c r="L291" s="34"/>
    </row>
    <row r="292" spans="1:12" x14ac:dyDescent="0.25">
      <c r="A292" s="44" t="s">
        <v>615</v>
      </c>
      <c r="B292" s="45" t="s">
        <v>616</v>
      </c>
      <c r="C292" s="44" t="s">
        <v>88</v>
      </c>
      <c r="D292" s="22">
        <v>2</v>
      </c>
      <c r="E292" s="44">
        <v>529.48</v>
      </c>
      <c r="F292" s="44">
        <f t="shared" si="1"/>
        <v>1058.96</v>
      </c>
      <c r="G292" s="19" t="s">
        <v>50</v>
      </c>
      <c r="H292" s="25">
        <v>2</v>
      </c>
      <c r="I292" s="32"/>
      <c r="J292" s="33"/>
      <c r="K292" s="30"/>
      <c r="L292" s="34"/>
    </row>
    <row r="293" spans="1:12" x14ac:dyDescent="0.25">
      <c r="A293" s="44" t="s">
        <v>617</v>
      </c>
      <c r="B293" s="45" t="s">
        <v>618</v>
      </c>
      <c r="C293" s="44" t="s">
        <v>619</v>
      </c>
      <c r="D293" s="22">
        <v>2</v>
      </c>
      <c r="E293" s="44">
        <v>12790.64</v>
      </c>
      <c r="F293" s="44">
        <f t="shared" si="1"/>
        <v>25581.279999999999</v>
      </c>
      <c r="G293" s="19" t="s">
        <v>18</v>
      </c>
      <c r="H293" s="25">
        <v>2</v>
      </c>
      <c r="I293" s="32"/>
      <c r="J293" s="33"/>
      <c r="K293" s="30"/>
      <c r="L293" s="34"/>
    </row>
    <row r="294" spans="1:12" x14ac:dyDescent="0.25">
      <c r="A294" s="44" t="s">
        <v>620</v>
      </c>
      <c r="B294" s="45" t="s">
        <v>621</v>
      </c>
      <c r="C294" s="44" t="s">
        <v>622</v>
      </c>
      <c r="D294" s="22">
        <v>2</v>
      </c>
      <c r="E294" s="44">
        <v>1379.77</v>
      </c>
      <c r="F294" s="44">
        <f t="shared" si="1"/>
        <v>2759.54</v>
      </c>
      <c r="G294" s="25" t="s">
        <v>38</v>
      </c>
      <c r="H294" s="25">
        <v>2</v>
      </c>
      <c r="I294" s="32"/>
      <c r="J294" s="33"/>
      <c r="K294" s="30"/>
      <c r="L294" s="34"/>
    </row>
    <row r="295" spans="1:12" x14ac:dyDescent="0.25">
      <c r="A295" s="44" t="s">
        <v>620</v>
      </c>
      <c r="B295" s="45" t="s">
        <v>623</v>
      </c>
      <c r="C295" s="44" t="s">
        <v>545</v>
      </c>
      <c r="D295" s="22">
        <v>2</v>
      </c>
      <c r="E295" s="44">
        <v>2072.5300000000002</v>
      </c>
      <c r="F295" s="44">
        <f t="shared" si="1"/>
        <v>4145.0600000000004</v>
      </c>
      <c r="G295" s="25" t="s">
        <v>38</v>
      </c>
      <c r="H295" s="25">
        <v>2</v>
      </c>
      <c r="I295" s="32"/>
      <c r="J295" s="33"/>
      <c r="K295" s="30"/>
      <c r="L295" s="34"/>
    </row>
    <row r="296" spans="1:12" x14ac:dyDescent="0.25">
      <c r="A296" s="35" t="s">
        <v>624</v>
      </c>
      <c r="B296" s="36" t="s">
        <v>625</v>
      </c>
      <c r="C296" s="35" t="s">
        <v>626</v>
      </c>
      <c r="D296" s="22">
        <v>2</v>
      </c>
      <c r="E296" s="46">
        <v>106.28</v>
      </c>
      <c r="F296" s="44">
        <f t="shared" si="1"/>
        <v>212.56</v>
      </c>
      <c r="G296" s="25" t="s">
        <v>50</v>
      </c>
      <c r="H296" s="25">
        <v>2</v>
      </c>
      <c r="I296" s="32"/>
      <c r="J296" s="33"/>
      <c r="K296" s="30"/>
      <c r="L296" s="34"/>
    </row>
    <row r="297" spans="1:12" x14ac:dyDescent="0.25">
      <c r="A297" s="44" t="s">
        <v>627</v>
      </c>
      <c r="B297" s="45" t="s">
        <v>628</v>
      </c>
      <c r="C297" s="44" t="s">
        <v>629</v>
      </c>
      <c r="D297" s="22">
        <v>2</v>
      </c>
      <c r="E297" s="44">
        <v>3146.62</v>
      </c>
      <c r="F297" s="44">
        <f t="shared" si="1"/>
        <v>6293.24</v>
      </c>
      <c r="G297" s="19" t="s">
        <v>18</v>
      </c>
      <c r="H297" s="25">
        <v>2</v>
      </c>
      <c r="I297" s="32"/>
      <c r="J297" s="33"/>
      <c r="K297" s="30"/>
      <c r="L297" s="34"/>
    </row>
    <row r="298" spans="1:12" x14ac:dyDescent="0.25">
      <c r="A298" s="44" t="s">
        <v>627</v>
      </c>
      <c r="B298" s="45" t="s">
        <v>630</v>
      </c>
      <c r="C298" s="44" t="s">
        <v>631</v>
      </c>
      <c r="D298" s="22">
        <v>2</v>
      </c>
      <c r="E298" s="44">
        <v>2250.91</v>
      </c>
      <c r="F298" s="44">
        <f t="shared" si="1"/>
        <v>4501.82</v>
      </c>
      <c r="G298" s="19" t="s">
        <v>18</v>
      </c>
      <c r="H298" s="25">
        <v>2</v>
      </c>
      <c r="I298" s="32"/>
      <c r="J298" s="33"/>
      <c r="K298" s="30"/>
      <c r="L298" s="34"/>
    </row>
    <row r="299" spans="1:12" x14ac:dyDescent="0.25">
      <c r="A299" s="44" t="s">
        <v>627</v>
      </c>
      <c r="B299" s="45" t="s">
        <v>632</v>
      </c>
      <c r="C299" s="44" t="s">
        <v>633</v>
      </c>
      <c r="D299" s="22">
        <v>2</v>
      </c>
      <c r="E299" s="44">
        <v>1879.6</v>
      </c>
      <c r="F299" s="44">
        <f t="shared" si="1"/>
        <v>3759.2</v>
      </c>
      <c r="G299" s="19" t="s">
        <v>18</v>
      </c>
      <c r="H299" s="25">
        <v>2</v>
      </c>
      <c r="I299" s="32"/>
      <c r="J299" s="33"/>
      <c r="K299" s="30"/>
      <c r="L299" s="34"/>
    </row>
    <row r="300" spans="1:12" x14ac:dyDescent="0.25">
      <c r="A300" s="44" t="s">
        <v>627</v>
      </c>
      <c r="B300" s="45" t="s">
        <v>634</v>
      </c>
      <c r="C300" s="44" t="s">
        <v>631</v>
      </c>
      <c r="D300" s="22">
        <v>2</v>
      </c>
      <c r="E300" s="44">
        <v>1410.73</v>
      </c>
      <c r="F300" s="44">
        <f t="shared" si="1"/>
        <v>2821.46</v>
      </c>
      <c r="G300" s="25" t="s">
        <v>18</v>
      </c>
      <c r="H300" s="25">
        <v>2</v>
      </c>
      <c r="I300" s="32"/>
      <c r="J300" s="33"/>
      <c r="K300" s="30"/>
      <c r="L300" s="34"/>
    </row>
    <row r="301" spans="1:12" x14ac:dyDescent="0.25">
      <c r="A301" s="44" t="s">
        <v>627</v>
      </c>
      <c r="B301" s="45" t="s">
        <v>628</v>
      </c>
      <c r="C301" s="44" t="s">
        <v>629</v>
      </c>
      <c r="D301" s="22">
        <v>2</v>
      </c>
      <c r="E301" s="44">
        <v>3184.34</v>
      </c>
      <c r="F301" s="44">
        <f t="shared" si="1"/>
        <v>6368.68</v>
      </c>
      <c r="G301" s="19" t="s">
        <v>317</v>
      </c>
      <c r="H301" s="25">
        <v>2</v>
      </c>
      <c r="I301" s="32"/>
      <c r="J301" s="33"/>
      <c r="K301" s="30"/>
      <c r="L301" s="34"/>
    </row>
    <row r="302" spans="1:12" x14ac:dyDescent="0.25">
      <c r="A302" s="44" t="s">
        <v>627</v>
      </c>
      <c r="B302" s="45" t="s">
        <v>635</v>
      </c>
      <c r="C302" s="44" t="s">
        <v>636</v>
      </c>
      <c r="D302" s="22">
        <v>2</v>
      </c>
      <c r="E302" s="44">
        <v>1952.71</v>
      </c>
      <c r="F302" s="44">
        <f t="shared" si="1"/>
        <v>3905.42</v>
      </c>
      <c r="G302" s="19" t="s">
        <v>18</v>
      </c>
      <c r="H302" s="25">
        <v>2</v>
      </c>
      <c r="I302" s="32"/>
      <c r="J302" s="33"/>
      <c r="K302" s="30"/>
      <c r="L302" s="34"/>
    </row>
    <row r="303" spans="1:12" x14ac:dyDescent="0.25">
      <c r="A303" s="44" t="s">
        <v>627</v>
      </c>
      <c r="B303" s="45" t="s">
        <v>637</v>
      </c>
      <c r="C303" s="44" t="s">
        <v>638</v>
      </c>
      <c r="D303" s="22">
        <v>2</v>
      </c>
      <c r="E303" s="44">
        <v>1519.4</v>
      </c>
      <c r="F303" s="44">
        <f t="shared" si="1"/>
        <v>3038.8</v>
      </c>
      <c r="G303" s="19" t="s">
        <v>18</v>
      </c>
      <c r="H303" s="25">
        <v>2</v>
      </c>
      <c r="I303" s="32"/>
      <c r="J303" s="33"/>
      <c r="K303" s="30"/>
      <c r="L303" s="34"/>
    </row>
    <row r="304" spans="1:12" x14ac:dyDescent="0.25">
      <c r="A304" s="44" t="s">
        <v>627</v>
      </c>
      <c r="B304" s="45" t="s">
        <v>639</v>
      </c>
      <c r="C304" s="44" t="s">
        <v>638</v>
      </c>
      <c r="D304" s="22">
        <v>2</v>
      </c>
      <c r="E304" s="44">
        <v>1513.4</v>
      </c>
      <c r="F304" s="44">
        <f t="shared" si="1"/>
        <v>3026.8</v>
      </c>
      <c r="G304" s="19" t="s">
        <v>18</v>
      </c>
      <c r="H304" s="25">
        <v>2</v>
      </c>
      <c r="I304" s="32"/>
      <c r="J304" s="33"/>
      <c r="K304" s="30"/>
      <c r="L304" s="34"/>
    </row>
    <row r="305" spans="1:12" x14ac:dyDescent="0.25">
      <c r="A305" s="44" t="s">
        <v>627</v>
      </c>
      <c r="B305" s="45" t="s">
        <v>640</v>
      </c>
      <c r="C305" s="44" t="s">
        <v>641</v>
      </c>
      <c r="D305" s="22">
        <v>2</v>
      </c>
      <c r="E305" s="44">
        <v>8147.66</v>
      </c>
      <c r="F305" s="44">
        <f t="shared" si="1"/>
        <v>16295.32</v>
      </c>
      <c r="G305" s="47" t="s">
        <v>18</v>
      </c>
      <c r="H305" s="25">
        <v>2</v>
      </c>
      <c r="I305" s="32"/>
      <c r="J305" s="33"/>
      <c r="K305" s="30"/>
      <c r="L305" s="34"/>
    </row>
    <row r="306" spans="1:12" x14ac:dyDescent="0.25">
      <c r="A306" s="44" t="s">
        <v>627</v>
      </c>
      <c r="B306" s="45" t="s">
        <v>635</v>
      </c>
      <c r="C306" s="44" t="s">
        <v>636</v>
      </c>
      <c r="D306" s="22">
        <v>2</v>
      </c>
      <c r="E306" s="44">
        <v>1998.66</v>
      </c>
      <c r="F306" s="44">
        <f t="shared" si="1"/>
        <v>3997.32</v>
      </c>
      <c r="G306" s="47" t="s">
        <v>18</v>
      </c>
      <c r="H306" s="25">
        <v>2</v>
      </c>
      <c r="I306" s="32"/>
      <c r="J306" s="33"/>
      <c r="K306" s="30"/>
      <c r="L306" s="34"/>
    </row>
    <row r="307" spans="1:12" x14ac:dyDescent="0.25">
      <c r="A307" s="44" t="s">
        <v>642</v>
      </c>
      <c r="B307" s="45" t="s">
        <v>643</v>
      </c>
      <c r="C307" s="44" t="s">
        <v>644</v>
      </c>
      <c r="D307" s="22">
        <v>2</v>
      </c>
      <c r="E307" s="44">
        <v>594.39</v>
      </c>
      <c r="F307" s="35">
        <f t="shared" si="1"/>
        <v>1188.78</v>
      </c>
      <c r="G307" s="19" t="s">
        <v>18</v>
      </c>
      <c r="H307" s="25">
        <v>2</v>
      </c>
      <c r="I307" s="32"/>
      <c r="J307" s="33"/>
      <c r="K307" s="30"/>
      <c r="L307" s="34"/>
    </row>
    <row r="308" spans="1:12" x14ac:dyDescent="0.25">
      <c r="A308" s="44" t="s">
        <v>645</v>
      </c>
      <c r="B308" s="45" t="s">
        <v>646</v>
      </c>
      <c r="C308" s="44" t="s">
        <v>69</v>
      </c>
      <c r="D308" s="22">
        <v>2</v>
      </c>
      <c r="E308" s="44">
        <v>165.2</v>
      </c>
      <c r="F308" s="44">
        <f t="shared" si="1"/>
        <v>330.4</v>
      </c>
      <c r="G308" s="19" t="s">
        <v>18</v>
      </c>
      <c r="H308" s="25">
        <v>2</v>
      </c>
      <c r="I308" s="32"/>
      <c r="J308" s="33"/>
      <c r="K308" s="30"/>
      <c r="L308" s="34"/>
    </row>
    <row r="309" spans="1:12" x14ac:dyDescent="0.25">
      <c r="A309" s="44" t="s">
        <v>645</v>
      </c>
      <c r="B309" s="45" t="s">
        <v>647</v>
      </c>
      <c r="C309" s="44" t="s">
        <v>69</v>
      </c>
      <c r="D309" s="22">
        <v>2</v>
      </c>
      <c r="E309" s="44">
        <v>555.64</v>
      </c>
      <c r="F309" s="44">
        <f t="shared" si="1"/>
        <v>1111.28</v>
      </c>
      <c r="G309" s="47" t="s">
        <v>50</v>
      </c>
      <c r="H309" s="25">
        <v>2</v>
      </c>
      <c r="I309" s="32"/>
      <c r="J309" s="33"/>
      <c r="K309" s="30"/>
      <c r="L309" s="34"/>
    </row>
    <row r="310" spans="1:12" x14ac:dyDescent="0.25">
      <c r="A310" s="35" t="s">
        <v>645</v>
      </c>
      <c r="B310" s="36" t="s">
        <v>648</v>
      </c>
      <c r="C310" s="35" t="s">
        <v>69</v>
      </c>
      <c r="D310" s="22">
        <v>2</v>
      </c>
      <c r="E310" s="46">
        <v>183.67</v>
      </c>
      <c r="F310" s="44">
        <f t="shared" si="1"/>
        <v>367.34</v>
      </c>
      <c r="G310" s="25" t="s">
        <v>18</v>
      </c>
      <c r="H310" s="25">
        <v>2</v>
      </c>
      <c r="I310" s="32"/>
      <c r="J310" s="33"/>
      <c r="K310" s="30"/>
      <c r="L310" s="34"/>
    </row>
    <row r="311" spans="1:12" x14ac:dyDescent="0.25">
      <c r="A311" s="44" t="s">
        <v>645</v>
      </c>
      <c r="B311" s="45" t="s">
        <v>649</v>
      </c>
      <c r="C311" s="44" t="s">
        <v>650</v>
      </c>
      <c r="D311" s="22">
        <v>2</v>
      </c>
      <c r="E311" s="44">
        <v>142.4</v>
      </c>
      <c r="F311" s="44">
        <f t="shared" si="1"/>
        <v>284.8</v>
      </c>
      <c r="G311" s="19" t="s">
        <v>38</v>
      </c>
      <c r="H311" s="25">
        <v>2</v>
      </c>
      <c r="I311" s="32"/>
      <c r="J311" s="33"/>
      <c r="K311" s="30"/>
      <c r="L311" s="34"/>
    </row>
    <row r="312" spans="1:12" x14ac:dyDescent="0.25">
      <c r="A312" s="44" t="s">
        <v>645</v>
      </c>
      <c r="B312" s="45" t="s">
        <v>651</v>
      </c>
      <c r="C312" s="44" t="s">
        <v>652</v>
      </c>
      <c r="D312" s="22">
        <v>2</v>
      </c>
      <c r="E312" s="44">
        <v>975.9</v>
      </c>
      <c r="F312" s="44">
        <f t="shared" si="1"/>
        <v>1951.8</v>
      </c>
      <c r="G312" s="19" t="s">
        <v>50</v>
      </c>
      <c r="H312" s="25">
        <v>2</v>
      </c>
      <c r="I312" s="32"/>
      <c r="J312" s="33"/>
      <c r="K312" s="30"/>
      <c r="L312" s="34"/>
    </row>
    <row r="313" spans="1:12" x14ac:dyDescent="0.25">
      <c r="A313" s="44" t="s">
        <v>645</v>
      </c>
      <c r="B313" s="45" t="s">
        <v>647</v>
      </c>
      <c r="C313" s="44" t="s">
        <v>69</v>
      </c>
      <c r="D313" s="22">
        <v>2</v>
      </c>
      <c r="E313" s="44">
        <v>557.69000000000005</v>
      </c>
      <c r="F313" s="44">
        <f t="shared" si="1"/>
        <v>1115.3800000000001</v>
      </c>
      <c r="G313" s="19" t="s">
        <v>50</v>
      </c>
      <c r="H313" s="25">
        <v>2</v>
      </c>
      <c r="I313" s="32"/>
      <c r="J313" s="33"/>
      <c r="K313" s="30"/>
      <c r="L313" s="34"/>
    </row>
    <row r="314" spans="1:12" x14ac:dyDescent="0.25">
      <c r="A314" s="44" t="s">
        <v>645</v>
      </c>
      <c r="B314" s="45" t="s">
        <v>653</v>
      </c>
      <c r="C314" s="44" t="s">
        <v>73</v>
      </c>
      <c r="D314" s="22">
        <v>2</v>
      </c>
      <c r="E314" s="44">
        <v>857.03</v>
      </c>
      <c r="F314" s="44">
        <f t="shared" si="1"/>
        <v>1714.06</v>
      </c>
      <c r="G314" s="47" t="s">
        <v>50</v>
      </c>
      <c r="H314" s="25">
        <v>2</v>
      </c>
      <c r="I314" s="32"/>
      <c r="J314" s="33"/>
      <c r="K314" s="30"/>
      <c r="L314" s="34"/>
    </row>
    <row r="315" spans="1:12" x14ac:dyDescent="0.25">
      <c r="A315" s="44" t="s">
        <v>645</v>
      </c>
      <c r="B315" s="45" t="s">
        <v>654</v>
      </c>
      <c r="C315" s="44" t="s">
        <v>655</v>
      </c>
      <c r="D315" s="22">
        <v>2</v>
      </c>
      <c r="E315" s="44">
        <v>137.55000000000001</v>
      </c>
      <c r="F315" s="44">
        <f t="shared" si="1"/>
        <v>275.10000000000002</v>
      </c>
      <c r="G315" s="19" t="s">
        <v>38</v>
      </c>
      <c r="H315" s="25">
        <v>2</v>
      </c>
      <c r="I315" s="32"/>
      <c r="J315" s="33"/>
      <c r="K315" s="30"/>
      <c r="L315" s="34"/>
    </row>
    <row r="316" spans="1:12" x14ac:dyDescent="0.25">
      <c r="A316" s="44" t="s">
        <v>656</v>
      </c>
      <c r="B316" s="45" t="s">
        <v>657</v>
      </c>
      <c r="C316" s="44" t="s">
        <v>658</v>
      </c>
      <c r="D316" s="22">
        <v>2</v>
      </c>
      <c r="E316" s="44">
        <v>1396.07</v>
      </c>
      <c r="F316" s="44">
        <f t="shared" si="1"/>
        <v>2792.14</v>
      </c>
      <c r="G316" s="19" t="s">
        <v>18</v>
      </c>
      <c r="H316" s="25">
        <v>2</v>
      </c>
      <c r="I316" s="32"/>
      <c r="J316" s="33"/>
      <c r="K316" s="30"/>
      <c r="L316" s="34"/>
    </row>
    <row r="317" spans="1:12" x14ac:dyDescent="0.25">
      <c r="A317" s="44" t="s">
        <v>659</v>
      </c>
      <c r="B317" s="45" t="s">
        <v>660</v>
      </c>
      <c r="C317" s="44" t="s">
        <v>661</v>
      </c>
      <c r="D317" s="22">
        <v>2</v>
      </c>
      <c r="E317" s="44">
        <v>2887.5</v>
      </c>
      <c r="F317" s="44">
        <f t="shared" si="1"/>
        <v>5775</v>
      </c>
      <c r="G317" s="47" t="s">
        <v>50</v>
      </c>
      <c r="H317" s="25">
        <v>2</v>
      </c>
      <c r="I317" s="32"/>
      <c r="J317" s="33"/>
      <c r="K317" s="30"/>
      <c r="L317" s="34"/>
    </row>
    <row r="318" spans="1:12" x14ac:dyDescent="0.25">
      <c r="A318" s="44" t="s">
        <v>662</v>
      </c>
      <c r="B318" s="45" t="s">
        <v>663</v>
      </c>
      <c r="C318" s="44" t="s">
        <v>664</v>
      </c>
      <c r="D318" s="22">
        <v>2</v>
      </c>
      <c r="E318" s="44">
        <v>910.9</v>
      </c>
      <c r="F318" s="44">
        <f t="shared" si="1"/>
        <v>1821.8</v>
      </c>
      <c r="G318" s="47" t="s">
        <v>50</v>
      </c>
      <c r="H318" s="25">
        <v>2</v>
      </c>
      <c r="I318" s="32"/>
      <c r="J318" s="33"/>
      <c r="K318" s="30"/>
      <c r="L318" s="34"/>
    </row>
    <row r="319" spans="1:12" x14ac:dyDescent="0.25">
      <c r="A319" s="44" t="s">
        <v>665</v>
      </c>
      <c r="B319" s="45" t="s">
        <v>666</v>
      </c>
      <c r="C319" s="44" t="s">
        <v>667</v>
      </c>
      <c r="D319" s="22">
        <v>2</v>
      </c>
      <c r="E319" s="44">
        <v>1131.82</v>
      </c>
      <c r="F319" s="44">
        <f t="shared" si="1"/>
        <v>2263.64</v>
      </c>
      <c r="G319" s="47" t="s">
        <v>50</v>
      </c>
      <c r="H319" s="25">
        <v>2</v>
      </c>
      <c r="I319" s="32"/>
      <c r="J319" s="33"/>
      <c r="K319" s="30"/>
      <c r="L319" s="34"/>
    </row>
    <row r="320" spans="1:12" x14ac:dyDescent="0.25">
      <c r="A320" s="44" t="s">
        <v>665</v>
      </c>
      <c r="B320" s="45" t="s">
        <v>668</v>
      </c>
      <c r="C320" s="44" t="s">
        <v>669</v>
      </c>
      <c r="D320" s="22">
        <v>2</v>
      </c>
      <c r="E320" s="44">
        <v>1776.27</v>
      </c>
      <c r="F320" s="44">
        <f t="shared" si="1"/>
        <v>3552.54</v>
      </c>
      <c r="G320" s="25" t="s">
        <v>38</v>
      </c>
      <c r="H320" s="25">
        <v>2</v>
      </c>
      <c r="I320" s="32"/>
      <c r="J320" s="33"/>
      <c r="K320" s="30"/>
      <c r="L320" s="34"/>
    </row>
    <row r="321" spans="1:12" x14ac:dyDescent="0.25">
      <c r="A321" s="44" t="s">
        <v>665</v>
      </c>
      <c r="B321" s="45" t="s">
        <v>670</v>
      </c>
      <c r="C321" s="44" t="s">
        <v>671</v>
      </c>
      <c r="D321" s="22">
        <v>2</v>
      </c>
      <c r="E321" s="44">
        <v>866.07</v>
      </c>
      <c r="F321" s="44">
        <f t="shared" si="1"/>
        <v>1732.14</v>
      </c>
      <c r="G321" s="19" t="s">
        <v>18</v>
      </c>
      <c r="H321" s="25">
        <v>2</v>
      </c>
      <c r="I321" s="32"/>
      <c r="J321" s="33"/>
      <c r="K321" s="30"/>
      <c r="L321" s="34"/>
    </row>
    <row r="322" spans="1:12" x14ac:dyDescent="0.25">
      <c r="A322" s="44" t="s">
        <v>665</v>
      </c>
      <c r="B322" s="45" t="s">
        <v>672</v>
      </c>
      <c r="C322" s="44" t="s">
        <v>667</v>
      </c>
      <c r="D322" s="22">
        <v>2</v>
      </c>
      <c r="E322" s="44">
        <v>1537.47</v>
      </c>
      <c r="F322" s="44">
        <f t="shared" si="1"/>
        <v>3074.94</v>
      </c>
      <c r="G322" s="19" t="s">
        <v>38</v>
      </c>
      <c r="H322" s="25">
        <v>2</v>
      </c>
      <c r="I322" s="32"/>
      <c r="J322" s="33"/>
      <c r="K322" s="30"/>
      <c r="L322" s="34"/>
    </row>
    <row r="323" spans="1:12" x14ac:dyDescent="0.25">
      <c r="A323" s="44" t="s">
        <v>665</v>
      </c>
      <c r="B323" s="45" t="s">
        <v>673</v>
      </c>
      <c r="C323" s="44" t="s">
        <v>580</v>
      </c>
      <c r="D323" s="22">
        <v>2</v>
      </c>
      <c r="E323" s="44">
        <v>899.96</v>
      </c>
      <c r="F323" s="44">
        <f t="shared" si="1"/>
        <v>1799.92</v>
      </c>
      <c r="G323" s="19" t="s">
        <v>50</v>
      </c>
      <c r="H323" s="25">
        <v>2</v>
      </c>
      <c r="I323" s="32"/>
      <c r="J323" s="33"/>
      <c r="K323" s="30"/>
      <c r="L323" s="34"/>
    </row>
    <row r="324" spans="1:12" x14ac:dyDescent="0.25">
      <c r="A324" s="44" t="s">
        <v>665</v>
      </c>
      <c r="B324" s="45" t="s">
        <v>674</v>
      </c>
      <c r="C324" s="44" t="s">
        <v>675</v>
      </c>
      <c r="D324" s="22">
        <v>2</v>
      </c>
      <c r="E324" s="44">
        <v>282.58</v>
      </c>
      <c r="F324" s="35">
        <f t="shared" si="1"/>
        <v>565.16</v>
      </c>
      <c r="G324" s="19" t="s">
        <v>18</v>
      </c>
      <c r="H324" s="25">
        <v>2</v>
      </c>
      <c r="I324" s="32"/>
      <c r="J324" s="33"/>
      <c r="K324" s="30"/>
      <c r="L324" s="34"/>
    </row>
    <row r="325" spans="1:12" x14ac:dyDescent="0.25">
      <c r="A325" s="44" t="s">
        <v>665</v>
      </c>
      <c r="B325" s="45" t="s">
        <v>676</v>
      </c>
      <c r="C325" s="44" t="s">
        <v>677</v>
      </c>
      <c r="D325" s="22">
        <v>2</v>
      </c>
      <c r="E325" s="44">
        <v>182.41</v>
      </c>
      <c r="F325" s="44">
        <f t="shared" si="1"/>
        <v>364.82</v>
      </c>
      <c r="G325" s="19" t="s">
        <v>18</v>
      </c>
      <c r="H325" s="25">
        <v>2</v>
      </c>
      <c r="I325" s="32"/>
      <c r="J325" s="33"/>
      <c r="K325" s="30"/>
      <c r="L325" s="34"/>
    </row>
    <row r="326" spans="1:12" x14ac:dyDescent="0.25">
      <c r="A326" s="44" t="s">
        <v>665</v>
      </c>
      <c r="B326" s="45" t="s">
        <v>678</v>
      </c>
      <c r="C326" s="44" t="s">
        <v>679</v>
      </c>
      <c r="D326" s="22">
        <v>2</v>
      </c>
      <c r="E326" s="44">
        <v>2159.8200000000002</v>
      </c>
      <c r="F326" s="44">
        <f t="shared" si="1"/>
        <v>4319.6400000000003</v>
      </c>
      <c r="G326" s="19" t="s">
        <v>50</v>
      </c>
      <c r="H326" s="25">
        <v>2</v>
      </c>
      <c r="I326" s="32"/>
      <c r="J326" s="33"/>
      <c r="K326" s="30"/>
      <c r="L326" s="34"/>
    </row>
    <row r="327" spans="1:12" x14ac:dyDescent="0.25">
      <c r="A327" s="44" t="s">
        <v>665</v>
      </c>
      <c r="B327" s="45" t="s">
        <v>680</v>
      </c>
      <c r="C327" s="44" t="s">
        <v>681</v>
      </c>
      <c r="D327" s="22">
        <v>2</v>
      </c>
      <c r="E327" s="44">
        <v>665.83</v>
      </c>
      <c r="F327" s="44">
        <f t="shared" si="1"/>
        <v>1331.66</v>
      </c>
      <c r="G327" s="19" t="s">
        <v>18</v>
      </c>
      <c r="H327" s="25">
        <v>2</v>
      </c>
      <c r="I327" s="32"/>
      <c r="J327" s="33"/>
      <c r="K327" s="30"/>
      <c r="L327" s="34"/>
    </row>
    <row r="328" spans="1:12" x14ac:dyDescent="0.25">
      <c r="A328" s="44" t="s">
        <v>665</v>
      </c>
      <c r="B328" s="45" t="s">
        <v>670</v>
      </c>
      <c r="C328" s="44" t="s">
        <v>671</v>
      </c>
      <c r="D328" s="22">
        <v>2</v>
      </c>
      <c r="E328" s="44">
        <v>831.11</v>
      </c>
      <c r="F328" s="44">
        <f t="shared" si="1"/>
        <v>1662.22</v>
      </c>
      <c r="G328" s="47" t="s">
        <v>18</v>
      </c>
      <c r="H328" s="25">
        <v>2</v>
      </c>
      <c r="I328" s="32"/>
      <c r="J328" s="33"/>
      <c r="K328" s="30"/>
      <c r="L328" s="34"/>
    </row>
    <row r="329" spans="1:12" x14ac:dyDescent="0.25">
      <c r="A329" s="44" t="s">
        <v>665</v>
      </c>
      <c r="B329" s="45" t="s">
        <v>670</v>
      </c>
      <c r="C329" s="44" t="s">
        <v>671</v>
      </c>
      <c r="D329" s="22">
        <v>2</v>
      </c>
      <c r="E329" s="44">
        <v>831.11</v>
      </c>
      <c r="F329" s="44">
        <f t="shared" si="1"/>
        <v>1662.22</v>
      </c>
      <c r="G329" s="47" t="s">
        <v>18</v>
      </c>
      <c r="H329" s="25">
        <v>2</v>
      </c>
      <c r="I329" s="32"/>
      <c r="J329" s="33"/>
      <c r="K329" s="30"/>
      <c r="L329" s="34"/>
    </row>
    <row r="330" spans="1:12" x14ac:dyDescent="0.25">
      <c r="A330" s="44" t="s">
        <v>682</v>
      </c>
      <c r="B330" s="45" t="s">
        <v>683</v>
      </c>
      <c r="C330" s="44" t="s">
        <v>684</v>
      </c>
      <c r="D330" s="22">
        <v>2</v>
      </c>
      <c r="E330" s="44">
        <v>1248.6199999999999</v>
      </c>
      <c r="F330" s="44">
        <f t="shared" si="1"/>
        <v>2497.2399999999998</v>
      </c>
      <c r="G330" s="25" t="s">
        <v>18</v>
      </c>
      <c r="H330" s="25">
        <v>2</v>
      </c>
      <c r="I330" s="32"/>
      <c r="J330" s="33"/>
      <c r="K330" s="30"/>
      <c r="L330" s="34"/>
    </row>
    <row r="331" spans="1:12" x14ac:dyDescent="0.25">
      <c r="A331" s="44" t="s">
        <v>685</v>
      </c>
      <c r="B331" s="45" t="s">
        <v>686</v>
      </c>
      <c r="C331" s="44" t="s">
        <v>687</v>
      </c>
      <c r="D331" s="22">
        <v>2</v>
      </c>
      <c r="E331" s="44">
        <v>791.04</v>
      </c>
      <c r="F331" s="35">
        <f t="shared" si="1"/>
        <v>1582.08</v>
      </c>
      <c r="G331" s="19" t="s">
        <v>18</v>
      </c>
      <c r="H331" s="25">
        <v>2</v>
      </c>
      <c r="I331" s="32"/>
      <c r="J331" s="33"/>
      <c r="K331" s="30"/>
      <c r="L331" s="34"/>
    </row>
    <row r="332" spans="1:12" x14ac:dyDescent="0.25">
      <c r="A332" s="44" t="s">
        <v>281</v>
      </c>
      <c r="B332" s="45" t="s">
        <v>24</v>
      </c>
      <c r="C332" s="44" t="s">
        <v>688</v>
      </c>
      <c r="D332" s="22">
        <v>2</v>
      </c>
      <c r="E332" s="44">
        <v>757.68</v>
      </c>
      <c r="F332" s="44">
        <f t="shared" si="1"/>
        <v>1515.36</v>
      </c>
      <c r="G332" s="19" t="s">
        <v>18</v>
      </c>
      <c r="H332" s="25">
        <v>2</v>
      </c>
      <c r="I332" s="32"/>
      <c r="J332" s="33"/>
      <c r="K332" s="30"/>
      <c r="L332" s="34"/>
    </row>
    <row r="333" spans="1:12" x14ac:dyDescent="0.25">
      <c r="A333" s="44" t="s">
        <v>281</v>
      </c>
      <c r="B333" s="45" t="s">
        <v>689</v>
      </c>
      <c r="C333" s="44" t="s">
        <v>690</v>
      </c>
      <c r="D333" s="22">
        <v>2</v>
      </c>
      <c r="E333" s="44">
        <v>1427.49</v>
      </c>
      <c r="F333" s="44">
        <f t="shared" si="1"/>
        <v>2854.98</v>
      </c>
      <c r="G333" s="19" t="s">
        <v>18</v>
      </c>
      <c r="H333" s="25">
        <v>2</v>
      </c>
      <c r="I333" s="32"/>
      <c r="J333" s="33"/>
      <c r="K333" s="30"/>
      <c r="L333" s="34"/>
    </row>
    <row r="334" spans="1:12" x14ac:dyDescent="0.25">
      <c r="A334" s="44" t="s">
        <v>281</v>
      </c>
      <c r="B334" s="45" t="s">
        <v>691</v>
      </c>
      <c r="C334" s="44" t="s">
        <v>692</v>
      </c>
      <c r="D334" s="22">
        <v>2</v>
      </c>
      <c r="E334" s="44">
        <v>1401.31</v>
      </c>
      <c r="F334" s="44">
        <f t="shared" si="1"/>
        <v>2802.62</v>
      </c>
      <c r="G334" s="19" t="s">
        <v>18</v>
      </c>
      <c r="H334" s="25">
        <v>2</v>
      </c>
      <c r="I334" s="32"/>
      <c r="J334" s="33"/>
      <c r="K334" s="30"/>
      <c r="L334" s="34"/>
    </row>
    <row r="335" spans="1:12" x14ac:dyDescent="0.25">
      <c r="A335" s="44" t="s">
        <v>281</v>
      </c>
      <c r="B335" s="45" t="s">
        <v>689</v>
      </c>
      <c r="C335" s="44" t="s">
        <v>690</v>
      </c>
      <c r="D335" s="22">
        <v>2</v>
      </c>
      <c r="E335" s="44">
        <v>1423.93</v>
      </c>
      <c r="F335" s="44">
        <f t="shared" si="1"/>
        <v>2847.86</v>
      </c>
      <c r="G335" s="25" t="s">
        <v>18</v>
      </c>
      <c r="H335" s="25">
        <v>2</v>
      </c>
      <c r="I335" s="32"/>
      <c r="J335" s="33"/>
      <c r="K335" s="30"/>
      <c r="L335" s="34"/>
    </row>
    <row r="336" spans="1:12" x14ac:dyDescent="0.25">
      <c r="A336" s="44" t="s">
        <v>281</v>
      </c>
      <c r="B336" s="45" t="s">
        <v>693</v>
      </c>
      <c r="C336" s="44" t="s">
        <v>612</v>
      </c>
      <c r="D336" s="22">
        <v>2</v>
      </c>
      <c r="E336" s="44">
        <v>1253.56</v>
      </c>
      <c r="F336" s="44">
        <f t="shared" si="1"/>
        <v>2507.12</v>
      </c>
      <c r="G336" s="19" t="s">
        <v>18</v>
      </c>
      <c r="H336" s="25">
        <v>2</v>
      </c>
      <c r="I336" s="32"/>
      <c r="J336" s="33"/>
      <c r="K336" s="30"/>
      <c r="L336" s="34"/>
    </row>
    <row r="337" spans="1:12" x14ac:dyDescent="0.25">
      <c r="A337" s="44" t="s">
        <v>694</v>
      </c>
      <c r="B337" s="45" t="s">
        <v>695</v>
      </c>
      <c r="C337" s="44" t="s">
        <v>696</v>
      </c>
      <c r="D337" s="22">
        <v>2</v>
      </c>
      <c r="E337" s="44">
        <v>786.22</v>
      </c>
      <c r="F337" s="44">
        <f t="shared" si="1"/>
        <v>1572.44</v>
      </c>
      <c r="G337" s="19" t="s">
        <v>18</v>
      </c>
      <c r="H337" s="25">
        <v>2</v>
      </c>
      <c r="I337" s="32"/>
      <c r="J337" s="33"/>
      <c r="K337" s="30"/>
      <c r="L337" s="34"/>
    </row>
    <row r="338" spans="1:12" x14ac:dyDescent="0.25">
      <c r="A338" s="44" t="s">
        <v>697</v>
      </c>
      <c r="B338" s="45" t="s">
        <v>698</v>
      </c>
      <c r="C338" s="44" t="s">
        <v>679</v>
      </c>
      <c r="D338" s="22">
        <v>2</v>
      </c>
      <c r="E338" s="44">
        <v>1842.1</v>
      </c>
      <c r="F338" s="44">
        <f t="shared" si="1"/>
        <v>3684.2</v>
      </c>
      <c r="G338" s="19" t="s">
        <v>18</v>
      </c>
      <c r="H338" s="25">
        <v>2</v>
      </c>
      <c r="I338" s="32"/>
      <c r="J338" s="33"/>
      <c r="K338" s="30"/>
      <c r="L338" s="34"/>
    </row>
    <row r="339" spans="1:12" x14ac:dyDescent="0.25">
      <c r="A339" s="44" t="s">
        <v>19</v>
      </c>
      <c r="B339" s="45" t="s">
        <v>699</v>
      </c>
      <c r="C339" s="44" t="s">
        <v>700</v>
      </c>
      <c r="D339" s="22">
        <v>2</v>
      </c>
      <c r="E339" s="44">
        <v>6025.7</v>
      </c>
      <c r="F339" s="44">
        <f t="shared" si="1"/>
        <v>12051.4</v>
      </c>
      <c r="G339" s="19" t="s">
        <v>18</v>
      </c>
      <c r="H339" s="25">
        <v>2</v>
      </c>
      <c r="I339" s="32"/>
      <c r="J339" s="33"/>
      <c r="K339" s="30"/>
      <c r="L339" s="34"/>
    </row>
    <row r="340" spans="1:12" x14ac:dyDescent="0.25">
      <c r="A340" s="35" t="s">
        <v>19</v>
      </c>
      <c r="B340" s="36" t="s">
        <v>701</v>
      </c>
      <c r="C340" s="35" t="s">
        <v>32</v>
      </c>
      <c r="D340" s="22">
        <v>2</v>
      </c>
      <c r="E340" s="46">
        <v>4433.34</v>
      </c>
      <c r="F340" s="44">
        <f t="shared" si="1"/>
        <v>8866.68</v>
      </c>
      <c r="G340" s="25" t="s">
        <v>18</v>
      </c>
      <c r="H340" s="25">
        <v>2</v>
      </c>
      <c r="I340" s="32"/>
      <c r="J340" s="33"/>
      <c r="K340" s="30"/>
      <c r="L340" s="34"/>
    </row>
    <row r="341" spans="1:12" x14ac:dyDescent="0.25">
      <c r="A341" s="44" t="s">
        <v>19</v>
      </c>
      <c r="B341" s="45" t="s">
        <v>699</v>
      </c>
      <c r="C341" s="44" t="s">
        <v>700</v>
      </c>
      <c r="D341" s="22">
        <v>2</v>
      </c>
      <c r="E341" s="44">
        <v>6171.91</v>
      </c>
      <c r="F341" s="44">
        <f t="shared" si="1"/>
        <v>12343.82</v>
      </c>
      <c r="G341" s="19" t="s">
        <v>18</v>
      </c>
      <c r="H341" s="25">
        <v>2</v>
      </c>
      <c r="I341" s="32"/>
      <c r="J341" s="33"/>
      <c r="K341" s="30"/>
      <c r="L341" s="34"/>
    </row>
    <row r="342" spans="1:12" x14ac:dyDescent="0.25">
      <c r="A342" s="44" t="s">
        <v>19</v>
      </c>
      <c r="B342" s="45" t="s">
        <v>702</v>
      </c>
      <c r="C342" s="44" t="s">
        <v>703</v>
      </c>
      <c r="D342" s="22">
        <v>2</v>
      </c>
      <c r="E342" s="44">
        <v>6836.2</v>
      </c>
      <c r="F342" s="35">
        <f t="shared" si="1"/>
        <v>13672.4</v>
      </c>
      <c r="G342" s="19" t="s">
        <v>18</v>
      </c>
      <c r="H342" s="25">
        <v>2</v>
      </c>
      <c r="I342" s="32"/>
      <c r="J342" s="33"/>
      <c r="K342" s="30"/>
      <c r="L342" s="34"/>
    </row>
    <row r="343" spans="1:12" x14ac:dyDescent="0.25">
      <c r="A343" s="44" t="s">
        <v>19</v>
      </c>
      <c r="B343" s="45" t="s">
        <v>704</v>
      </c>
      <c r="C343" s="44" t="s">
        <v>705</v>
      </c>
      <c r="D343" s="22">
        <v>2</v>
      </c>
      <c r="E343" s="44">
        <v>407.23</v>
      </c>
      <c r="F343" s="35">
        <f t="shared" si="1"/>
        <v>814.46</v>
      </c>
      <c r="G343" s="19" t="s">
        <v>18</v>
      </c>
      <c r="H343" s="25">
        <v>2</v>
      </c>
      <c r="I343" s="32"/>
      <c r="J343" s="33"/>
      <c r="K343" s="30"/>
      <c r="L343" s="34"/>
    </row>
    <row r="344" spans="1:12" x14ac:dyDescent="0.25">
      <c r="A344" s="44" t="s">
        <v>392</v>
      </c>
      <c r="B344" s="45" t="s">
        <v>706</v>
      </c>
      <c r="C344" s="44" t="s">
        <v>707</v>
      </c>
      <c r="D344" s="22">
        <v>2</v>
      </c>
      <c r="E344" s="44">
        <v>2438.66</v>
      </c>
      <c r="F344" s="44">
        <f t="shared" si="1"/>
        <v>4877.32</v>
      </c>
      <c r="G344" s="19" t="s">
        <v>18</v>
      </c>
      <c r="H344" s="25">
        <v>2</v>
      </c>
      <c r="I344" s="32"/>
      <c r="J344" s="33"/>
      <c r="K344" s="30"/>
      <c r="L344" s="34"/>
    </row>
    <row r="345" spans="1:12" x14ac:dyDescent="0.25">
      <c r="A345" s="44" t="s">
        <v>392</v>
      </c>
      <c r="B345" s="45" t="s">
        <v>708</v>
      </c>
      <c r="C345" s="44" t="s">
        <v>709</v>
      </c>
      <c r="D345" s="22">
        <v>2</v>
      </c>
      <c r="E345" s="44">
        <v>1491.56</v>
      </c>
      <c r="F345" s="44">
        <f t="shared" si="1"/>
        <v>2983.12</v>
      </c>
      <c r="G345" s="19" t="s">
        <v>18</v>
      </c>
      <c r="H345" s="25">
        <v>2</v>
      </c>
      <c r="I345" s="32"/>
      <c r="J345" s="33"/>
      <c r="K345" s="30"/>
      <c r="L345" s="34"/>
    </row>
    <row r="346" spans="1:12" x14ac:dyDescent="0.25">
      <c r="A346" s="44" t="s">
        <v>392</v>
      </c>
      <c r="B346" s="45" t="s">
        <v>710</v>
      </c>
      <c r="C346" s="44" t="s">
        <v>711</v>
      </c>
      <c r="D346" s="22">
        <v>2</v>
      </c>
      <c r="E346" s="44">
        <v>122.28</v>
      </c>
      <c r="F346" s="44">
        <f t="shared" si="1"/>
        <v>244.56</v>
      </c>
      <c r="G346" s="19" t="s">
        <v>18</v>
      </c>
      <c r="H346" s="25">
        <v>2</v>
      </c>
      <c r="I346" s="32"/>
      <c r="J346" s="33"/>
      <c r="K346" s="30"/>
      <c r="L346" s="34"/>
    </row>
    <row r="347" spans="1:12" x14ac:dyDescent="0.25">
      <c r="A347" s="44" t="s">
        <v>712</v>
      </c>
      <c r="B347" s="45" t="s">
        <v>713</v>
      </c>
      <c r="C347" s="44" t="s">
        <v>714</v>
      </c>
      <c r="D347" s="22">
        <v>2</v>
      </c>
      <c r="E347" s="44">
        <v>4689.6000000000004</v>
      </c>
      <c r="F347" s="44">
        <f t="shared" si="1"/>
        <v>9379.2000000000007</v>
      </c>
      <c r="G347" s="19" t="s">
        <v>18</v>
      </c>
      <c r="H347" s="25">
        <v>2</v>
      </c>
      <c r="I347" s="32"/>
      <c r="J347" s="33"/>
      <c r="K347" s="30"/>
      <c r="L347" s="34"/>
    </row>
    <row r="348" spans="1:12" x14ac:dyDescent="0.25">
      <c r="A348" s="44" t="s">
        <v>712</v>
      </c>
      <c r="B348" s="45" t="s">
        <v>713</v>
      </c>
      <c r="C348" s="44" t="s">
        <v>714</v>
      </c>
      <c r="D348" s="22">
        <v>2</v>
      </c>
      <c r="E348" s="44">
        <v>4689.6000000000004</v>
      </c>
      <c r="F348" s="44">
        <f t="shared" si="1"/>
        <v>9379.2000000000007</v>
      </c>
      <c r="G348" s="19" t="s">
        <v>18</v>
      </c>
      <c r="H348" s="25">
        <v>2</v>
      </c>
      <c r="I348" s="32"/>
      <c r="J348" s="33"/>
      <c r="K348" s="30"/>
      <c r="L348" s="34"/>
    </row>
    <row r="349" spans="1:12" x14ac:dyDescent="0.25">
      <c r="A349" s="44" t="s">
        <v>715</v>
      </c>
      <c r="B349" s="45" t="s">
        <v>716</v>
      </c>
      <c r="C349" s="44" t="s">
        <v>717</v>
      </c>
      <c r="D349" s="22">
        <v>2</v>
      </c>
      <c r="E349" s="44">
        <v>2583</v>
      </c>
      <c r="F349" s="35">
        <f t="shared" si="1"/>
        <v>5166</v>
      </c>
      <c r="G349" s="25" t="s">
        <v>38</v>
      </c>
      <c r="H349" s="25">
        <v>2</v>
      </c>
      <c r="I349" s="32"/>
      <c r="J349" s="33"/>
      <c r="K349" s="30"/>
      <c r="L349" s="34"/>
    </row>
    <row r="350" spans="1:12" x14ac:dyDescent="0.25">
      <c r="A350" s="44" t="s">
        <v>715</v>
      </c>
      <c r="B350" s="45" t="s">
        <v>718</v>
      </c>
      <c r="C350" s="44" t="s">
        <v>719</v>
      </c>
      <c r="D350" s="22">
        <v>2</v>
      </c>
      <c r="E350" s="44">
        <v>1850.25</v>
      </c>
      <c r="F350" s="44">
        <f t="shared" si="1"/>
        <v>3700.5</v>
      </c>
      <c r="G350" s="19" t="s">
        <v>18</v>
      </c>
      <c r="H350" s="25">
        <v>2</v>
      </c>
      <c r="I350" s="32"/>
      <c r="J350" s="33"/>
      <c r="K350" s="30"/>
      <c r="L350" s="34"/>
    </row>
    <row r="351" spans="1:12" x14ac:dyDescent="0.25">
      <c r="A351" s="44" t="s">
        <v>715</v>
      </c>
      <c r="B351" s="45" t="s">
        <v>720</v>
      </c>
      <c r="C351" s="44" t="s">
        <v>721</v>
      </c>
      <c r="D351" s="22">
        <v>2</v>
      </c>
      <c r="E351" s="44">
        <v>2390.64</v>
      </c>
      <c r="F351" s="44">
        <f t="shared" si="1"/>
        <v>4781.28</v>
      </c>
      <c r="G351" s="47" t="s">
        <v>50</v>
      </c>
      <c r="H351" s="25">
        <v>2</v>
      </c>
      <c r="I351" s="32"/>
      <c r="J351" s="33"/>
      <c r="K351" s="30"/>
      <c r="L351" s="34"/>
    </row>
    <row r="352" spans="1:12" x14ac:dyDescent="0.25">
      <c r="A352" s="44" t="s">
        <v>715</v>
      </c>
      <c r="B352" s="45" t="s">
        <v>722</v>
      </c>
      <c r="C352" s="44" t="s">
        <v>719</v>
      </c>
      <c r="D352" s="22">
        <v>2</v>
      </c>
      <c r="E352" s="44">
        <v>1215.03</v>
      </c>
      <c r="F352" s="44">
        <f t="shared" si="1"/>
        <v>2430.06</v>
      </c>
      <c r="G352" s="19" t="s">
        <v>18</v>
      </c>
      <c r="H352" s="25">
        <v>2</v>
      </c>
      <c r="I352" s="32"/>
      <c r="J352" s="33"/>
      <c r="K352" s="30"/>
      <c r="L352" s="34"/>
    </row>
    <row r="353" spans="1:12" x14ac:dyDescent="0.25">
      <c r="A353" s="44" t="s">
        <v>715</v>
      </c>
      <c r="B353" s="45" t="s">
        <v>26</v>
      </c>
      <c r="C353" s="44" t="s">
        <v>719</v>
      </c>
      <c r="D353" s="22">
        <v>2</v>
      </c>
      <c r="E353" s="44">
        <v>923.92</v>
      </c>
      <c r="F353" s="44">
        <f t="shared" si="1"/>
        <v>1847.84</v>
      </c>
      <c r="G353" s="25" t="s">
        <v>18</v>
      </c>
      <c r="H353" s="25">
        <v>2</v>
      </c>
      <c r="I353" s="32"/>
      <c r="J353" s="33"/>
      <c r="K353" s="30"/>
      <c r="L353" s="34"/>
    </row>
    <row r="354" spans="1:12" x14ac:dyDescent="0.25">
      <c r="A354" s="44" t="s">
        <v>723</v>
      </c>
      <c r="B354" s="45" t="s">
        <v>724</v>
      </c>
      <c r="C354" s="44" t="s">
        <v>161</v>
      </c>
      <c r="D354" s="22">
        <v>2</v>
      </c>
      <c r="E354" s="44">
        <v>1972.55</v>
      </c>
      <c r="F354" s="44">
        <f t="shared" si="1"/>
        <v>3945.1</v>
      </c>
      <c r="G354" s="19" t="s">
        <v>38</v>
      </c>
      <c r="H354" s="25">
        <v>2</v>
      </c>
      <c r="I354" s="32"/>
      <c r="J354" s="33"/>
      <c r="K354" s="30"/>
      <c r="L354" s="34"/>
    </row>
    <row r="355" spans="1:12" x14ac:dyDescent="0.25">
      <c r="A355" s="44" t="s">
        <v>723</v>
      </c>
      <c r="B355" s="45" t="s">
        <v>725</v>
      </c>
      <c r="C355" s="44" t="s">
        <v>161</v>
      </c>
      <c r="D355" s="22">
        <v>2</v>
      </c>
      <c r="E355" s="44">
        <v>1290.3499999999999</v>
      </c>
      <c r="F355" s="44">
        <f t="shared" ref="F355:F418" si="2">E355*D355</f>
        <v>2580.6999999999998</v>
      </c>
      <c r="G355" s="19" t="s">
        <v>38</v>
      </c>
      <c r="H355" s="25">
        <v>2</v>
      </c>
      <c r="I355" s="32"/>
      <c r="J355" s="33"/>
      <c r="K355" s="30"/>
      <c r="L355" s="34"/>
    </row>
    <row r="356" spans="1:12" x14ac:dyDescent="0.25">
      <c r="A356" s="44" t="s">
        <v>726</v>
      </c>
      <c r="B356" s="45" t="s">
        <v>727</v>
      </c>
      <c r="C356" s="44" t="s">
        <v>728</v>
      </c>
      <c r="D356" s="22">
        <v>2</v>
      </c>
      <c r="E356" s="44">
        <v>4431.29</v>
      </c>
      <c r="F356" s="44">
        <f t="shared" si="2"/>
        <v>8862.58</v>
      </c>
      <c r="G356" s="19" t="s">
        <v>18</v>
      </c>
      <c r="H356" s="25">
        <v>2</v>
      </c>
      <c r="I356" s="32"/>
      <c r="J356" s="33"/>
      <c r="K356" s="30"/>
      <c r="L356" s="34"/>
    </row>
    <row r="357" spans="1:12" x14ac:dyDescent="0.25">
      <c r="A357" s="44" t="s">
        <v>726</v>
      </c>
      <c r="B357" s="45" t="s">
        <v>729</v>
      </c>
      <c r="C357" s="44" t="s">
        <v>730</v>
      </c>
      <c r="D357" s="22">
        <v>2</v>
      </c>
      <c r="E357" s="44">
        <v>1145.93</v>
      </c>
      <c r="F357" s="44">
        <f t="shared" si="2"/>
        <v>2291.86</v>
      </c>
      <c r="G357" s="19" t="s">
        <v>18</v>
      </c>
      <c r="H357" s="25">
        <v>2</v>
      </c>
      <c r="I357" s="32"/>
      <c r="J357" s="33"/>
      <c r="K357" s="30"/>
      <c r="L357" s="34"/>
    </row>
    <row r="358" spans="1:12" x14ac:dyDescent="0.25">
      <c r="A358" s="44" t="s">
        <v>726</v>
      </c>
      <c r="B358" s="45" t="s">
        <v>731</v>
      </c>
      <c r="C358" s="44" t="s">
        <v>730</v>
      </c>
      <c r="D358" s="22">
        <v>2</v>
      </c>
      <c r="E358" s="44">
        <v>974.88</v>
      </c>
      <c r="F358" s="44">
        <f t="shared" si="2"/>
        <v>1949.76</v>
      </c>
      <c r="G358" s="19" t="s">
        <v>18</v>
      </c>
      <c r="H358" s="25">
        <v>2</v>
      </c>
      <c r="I358" s="32"/>
      <c r="J358" s="33"/>
      <c r="K358" s="30"/>
      <c r="L358" s="34"/>
    </row>
    <row r="359" spans="1:12" x14ac:dyDescent="0.25">
      <c r="A359" s="44" t="s">
        <v>726</v>
      </c>
      <c r="B359" s="45" t="s">
        <v>732</v>
      </c>
      <c r="C359" s="44" t="s">
        <v>671</v>
      </c>
      <c r="D359" s="22">
        <v>2</v>
      </c>
      <c r="E359" s="44">
        <v>618.4</v>
      </c>
      <c r="F359" s="44">
        <f t="shared" si="2"/>
        <v>1236.8</v>
      </c>
      <c r="G359" s="47" t="s">
        <v>18</v>
      </c>
      <c r="H359" s="25">
        <v>2</v>
      </c>
      <c r="I359" s="32"/>
      <c r="J359" s="33"/>
      <c r="K359" s="30"/>
      <c r="L359" s="34"/>
    </row>
    <row r="360" spans="1:12" x14ac:dyDescent="0.25">
      <c r="A360" s="44" t="s">
        <v>733</v>
      </c>
      <c r="B360" s="45" t="s">
        <v>734</v>
      </c>
      <c r="C360" s="44" t="s">
        <v>735</v>
      </c>
      <c r="D360" s="22">
        <v>2</v>
      </c>
      <c r="E360" s="44">
        <v>3444.9</v>
      </c>
      <c r="F360" s="44">
        <f t="shared" si="2"/>
        <v>6889.8</v>
      </c>
      <c r="G360" s="19" t="s">
        <v>50</v>
      </c>
      <c r="H360" s="25">
        <v>2</v>
      </c>
      <c r="I360" s="32"/>
      <c r="J360" s="33"/>
      <c r="K360" s="30"/>
      <c r="L360" s="34"/>
    </row>
    <row r="361" spans="1:12" x14ac:dyDescent="0.25">
      <c r="A361" s="44" t="s">
        <v>736</v>
      </c>
      <c r="B361" s="45" t="s">
        <v>737</v>
      </c>
      <c r="C361" s="44" t="s">
        <v>738</v>
      </c>
      <c r="D361" s="22">
        <v>2</v>
      </c>
      <c r="E361" s="44">
        <v>1489.49</v>
      </c>
      <c r="F361" s="44">
        <f t="shared" si="2"/>
        <v>2978.98</v>
      </c>
      <c r="G361" s="19" t="s">
        <v>18</v>
      </c>
      <c r="H361" s="25">
        <v>2</v>
      </c>
      <c r="I361" s="32"/>
      <c r="J361" s="33"/>
      <c r="K361" s="30"/>
      <c r="L361" s="34"/>
    </row>
    <row r="362" spans="1:12" x14ac:dyDescent="0.25">
      <c r="A362" s="35" t="s">
        <v>457</v>
      </c>
      <c r="B362" s="36" t="s">
        <v>739</v>
      </c>
      <c r="C362" s="35" t="s">
        <v>740</v>
      </c>
      <c r="D362" s="22">
        <v>2</v>
      </c>
      <c r="E362" s="48">
        <v>2959.44</v>
      </c>
      <c r="F362" s="44">
        <f t="shared" si="2"/>
        <v>5918.88</v>
      </c>
      <c r="G362" s="47" t="s">
        <v>38</v>
      </c>
      <c r="H362" s="25">
        <v>2</v>
      </c>
      <c r="I362" s="32"/>
      <c r="J362" s="33"/>
      <c r="K362" s="30"/>
      <c r="L362" s="34"/>
    </row>
    <row r="363" spans="1:12" x14ac:dyDescent="0.25">
      <c r="A363" s="44" t="s">
        <v>457</v>
      </c>
      <c r="B363" s="45" t="s">
        <v>741</v>
      </c>
      <c r="C363" s="44" t="s">
        <v>740</v>
      </c>
      <c r="D363" s="22">
        <v>2</v>
      </c>
      <c r="E363" s="44">
        <v>2261.59</v>
      </c>
      <c r="F363" s="44">
        <f t="shared" si="2"/>
        <v>4523.18</v>
      </c>
      <c r="G363" s="47" t="s">
        <v>38</v>
      </c>
      <c r="H363" s="25">
        <v>2</v>
      </c>
      <c r="I363" s="32"/>
      <c r="J363" s="33"/>
      <c r="K363" s="30"/>
      <c r="L363" s="34"/>
    </row>
    <row r="364" spans="1:12" x14ac:dyDescent="0.25">
      <c r="A364" s="44" t="s">
        <v>457</v>
      </c>
      <c r="B364" s="45" t="s">
        <v>742</v>
      </c>
      <c r="C364" s="44" t="s">
        <v>571</v>
      </c>
      <c r="D364" s="22">
        <v>2</v>
      </c>
      <c r="E364" s="44">
        <v>1649.32</v>
      </c>
      <c r="F364" s="44">
        <f t="shared" si="2"/>
        <v>3298.64</v>
      </c>
      <c r="G364" s="19" t="s">
        <v>38</v>
      </c>
      <c r="H364" s="25">
        <v>2</v>
      </c>
      <c r="I364" s="32"/>
      <c r="J364" s="33"/>
      <c r="K364" s="30"/>
      <c r="L364" s="34"/>
    </row>
    <row r="365" spans="1:12" x14ac:dyDescent="0.25">
      <c r="A365" s="44" t="s">
        <v>306</v>
      </c>
      <c r="B365" s="45" t="s">
        <v>743</v>
      </c>
      <c r="C365" s="44" t="s">
        <v>744</v>
      </c>
      <c r="D365" s="22">
        <v>2</v>
      </c>
      <c r="E365" s="44">
        <v>4725.3500000000004</v>
      </c>
      <c r="F365" s="44">
        <f t="shared" si="2"/>
        <v>9450.7000000000007</v>
      </c>
      <c r="G365" s="19" t="s">
        <v>18</v>
      </c>
      <c r="H365" s="25">
        <v>2</v>
      </c>
      <c r="I365" s="32"/>
      <c r="J365" s="33"/>
      <c r="K365" s="30"/>
      <c r="L365" s="34"/>
    </row>
    <row r="366" spans="1:12" x14ac:dyDescent="0.25">
      <c r="A366" s="44" t="s">
        <v>306</v>
      </c>
      <c r="B366" s="45" t="s">
        <v>745</v>
      </c>
      <c r="C366" s="44" t="s">
        <v>746</v>
      </c>
      <c r="D366" s="22">
        <v>2</v>
      </c>
      <c r="E366" s="44">
        <v>2353.25</v>
      </c>
      <c r="F366" s="35">
        <f t="shared" si="2"/>
        <v>4706.5</v>
      </c>
      <c r="G366" s="19" t="s">
        <v>18</v>
      </c>
      <c r="H366" s="25">
        <v>2</v>
      </c>
      <c r="I366" s="32"/>
      <c r="J366" s="33"/>
      <c r="K366" s="30"/>
      <c r="L366" s="34"/>
    </row>
    <row r="367" spans="1:12" x14ac:dyDescent="0.25">
      <c r="A367" s="44" t="s">
        <v>747</v>
      </c>
      <c r="B367" s="45" t="s">
        <v>748</v>
      </c>
      <c r="C367" s="44" t="s">
        <v>749</v>
      </c>
      <c r="D367" s="22">
        <v>2</v>
      </c>
      <c r="E367" s="44">
        <v>977.91</v>
      </c>
      <c r="F367" s="44">
        <f t="shared" si="2"/>
        <v>1955.82</v>
      </c>
      <c r="G367" s="19" t="s">
        <v>18</v>
      </c>
      <c r="H367" s="25">
        <v>2</v>
      </c>
      <c r="I367" s="32"/>
      <c r="J367" s="33"/>
      <c r="K367" s="30"/>
      <c r="L367" s="34"/>
    </row>
    <row r="368" spans="1:12" x14ac:dyDescent="0.25">
      <c r="A368" s="44" t="s">
        <v>747</v>
      </c>
      <c r="B368" s="45" t="s">
        <v>369</v>
      </c>
      <c r="C368" s="44" t="s">
        <v>750</v>
      </c>
      <c r="D368" s="22">
        <v>2</v>
      </c>
      <c r="E368" s="44">
        <v>1001.89</v>
      </c>
      <c r="F368" s="44">
        <f t="shared" si="2"/>
        <v>2003.78</v>
      </c>
      <c r="G368" s="25" t="s">
        <v>18</v>
      </c>
      <c r="H368" s="25">
        <v>2</v>
      </c>
      <c r="I368" s="32"/>
      <c r="J368" s="33"/>
      <c r="K368" s="30"/>
      <c r="L368" s="34"/>
    </row>
    <row r="369" spans="1:12" x14ac:dyDescent="0.25">
      <c r="A369" s="44" t="s">
        <v>751</v>
      </c>
      <c r="B369" s="45" t="s">
        <v>752</v>
      </c>
      <c r="C369" s="44" t="s">
        <v>753</v>
      </c>
      <c r="D369" s="22">
        <v>2</v>
      </c>
      <c r="E369" s="44">
        <v>6981.08</v>
      </c>
      <c r="F369" s="44">
        <f t="shared" si="2"/>
        <v>13962.16</v>
      </c>
      <c r="G369" s="19" t="s">
        <v>50</v>
      </c>
      <c r="H369" s="25">
        <v>2</v>
      </c>
      <c r="I369" s="32"/>
      <c r="J369" s="33"/>
      <c r="K369" s="30"/>
      <c r="L369" s="34"/>
    </row>
    <row r="370" spans="1:12" x14ac:dyDescent="0.25">
      <c r="A370" s="44" t="s">
        <v>751</v>
      </c>
      <c r="B370" s="45" t="s">
        <v>754</v>
      </c>
      <c r="C370" s="44" t="s">
        <v>755</v>
      </c>
      <c r="D370" s="22">
        <v>2</v>
      </c>
      <c r="E370" s="44">
        <v>13735.4</v>
      </c>
      <c r="F370" s="44">
        <f t="shared" si="2"/>
        <v>27470.799999999999</v>
      </c>
      <c r="G370" s="19" t="s">
        <v>38</v>
      </c>
      <c r="H370" s="25">
        <v>2</v>
      </c>
      <c r="I370" s="32"/>
      <c r="J370" s="33"/>
      <c r="K370" s="30"/>
      <c r="L370" s="34"/>
    </row>
    <row r="371" spans="1:12" x14ac:dyDescent="0.25">
      <c r="A371" s="44" t="s">
        <v>756</v>
      </c>
      <c r="B371" s="45" t="s">
        <v>757</v>
      </c>
      <c r="C371" s="44" t="s">
        <v>758</v>
      </c>
      <c r="D371" s="22">
        <v>2</v>
      </c>
      <c r="E371" s="44">
        <v>4631.3500000000004</v>
      </c>
      <c r="F371" s="44">
        <f t="shared" si="2"/>
        <v>9262.7000000000007</v>
      </c>
      <c r="G371" s="19" t="s">
        <v>18</v>
      </c>
      <c r="H371" s="25">
        <v>2</v>
      </c>
      <c r="I371" s="32"/>
      <c r="J371" s="33"/>
      <c r="K371" s="30"/>
      <c r="L371" s="34"/>
    </row>
    <row r="372" spans="1:12" x14ac:dyDescent="0.25">
      <c r="A372" s="44" t="s">
        <v>349</v>
      </c>
      <c r="B372" s="45" t="s">
        <v>759</v>
      </c>
      <c r="C372" s="44" t="s">
        <v>760</v>
      </c>
      <c r="D372" s="22">
        <v>2</v>
      </c>
      <c r="E372" s="44">
        <v>1577.4</v>
      </c>
      <c r="F372" s="35">
        <f t="shared" si="2"/>
        <v>3154.8</v>
      </c>
      <c r="G372" s="25" t="s">
        <v>38</v>
      </c>
      <c r="H372" s="25">
        <v>2</v>
      </c>
      <c r="I372" s="32"/>
      <c r="J372" s="33"/>
      <c r="K372" s="30"/>
      <c r="L372" s="34"/>
    </row>
    <row r="373" spans="1:12" x14ac:dyDescent="0.25">
      <c r="A373" s="44" t="s">
        <v>349</v>
      </c>
      <c r="B373" s="45" t="s">
        <v>761</v>
      </c>
      <c r="C373" s="44" t="s">
        <v>735</v>
      </c>
      <c r="D373" s="22">
        <v>2</v>
      </c>
      <c r="E373" s="44">
        <v>7062.17</v>
      </c>
      <c r="F373" s="44">
        <f t="shared" si="2"/>
        <v>14124.34</v>
      </c>
      <c r="G373" s="25" t="s">
        <v>38</v>
      </c>
      <c r="H373" s="25">
        <v>2</v>
      </c>
      <c r="I373" s="32"/>
      <c r="J373" s="33"/>
      <c r="K373" s="30"/>
      <c r="L373" s="34"/>
    </row>
    <row r="374" spans="1:12" x14ac:dyDescent="0.25">
      <c r="A374" s="44" t="s">
        <v>349</v>
      </c>
      <c r="B374" s="45" t="s">
        <v>762</v>
      </c>
      <c r="C374" s="44" t="s">
        <v>760</v>
      </c>
      <c r="D374" s="22">
        <v>2</v>
      </c>
      <c r="E374" s="44">
        <v>2164.3200000000002</v>
      </c>
      <c r="F374" s="44">
        <f t="shared" si="2"/>
        <v>4328.6400000000003</v>
      </c>
      <c r="G374" s="19" t="s">
        <v>50</v>
      </c>
      <c r="H374" s="25">
        <v>2</v>
      </c>
      <c r="I374" s="32"/>
      <c r="J374" s="33"/>
      <c r="K374" s="30"/>
      <c r="L374" s="34"/>
    </row>
    <row r="375" spans="1:12" x14ac:dyDescent="0.25">
      <c r="A375" s="44" t="s">
        <v>349</v>
      </c>
      <c r="B375" s="45" t="s">
        <v>763</v>
      </c>
      <c r="C375" s="44" t="s">
        <v>764</v>
      </c>
      <c r="D375" s="22">
        <v>2</v>
      </c>
      <c r="E375" s="44">
        <v>2019.19</v>
      </c>
      <c r="F375" s="44">
        <f t="shared" si="2"/>
        <v>4038.38</v>
      </c>
      <c r="G375" s="19" t="s">
        <v>38</v>
      </c>
      <c r="H375" s="25">
        <v>2</v>
      </c>
      <c r="I375" s="32"/>
      <c r="J375" s="33"/>
      <c r="K375" s="30"/>
      <c r="L375" s="34"/>
    </row>
    <row r="376" spans="1:12" x14ac:dyDescent="0.25">
      <c r="A376" s="44" t="s">
        <v>349</v>
      </c>
      <c r="B376" s="45" t="s">
        <v>765</v>
      </c>
      <c r="C376" s="44" t="s">
        <v>766</v>
      </c>
      <c r="D376" s="22">
        <v>2</v>
      </c>
      <c r="E376" s="44">
        <v>2019.19</v>
      </c>
      <c r="F376" s="44">
        <f t="shared" si="2"/>
        <v>4038.38</v>
      </c>
      <c r="G376" s="19" t="s">
        <v>38</v>
      </c>
      <c r="H376" s="25">
        <v>2</v>
      </c>
      <c r="I376" s="32"/>
      <c r="J376" s="33"/>
      <c r="K376" s="30"/>
      <c r="L376" s="34"/>
    </row>
    <row r="377" spans="1:12" x14ac:dyDescent="0.25">
      <c r="A377" s="44" t="s">
        <v>349</v>
      </c>
      <c r="B377" s="45" t="s">
        <v>767</v>
      </c>
      <c r="C377" s="44" t="s">
        <v>764</v>
      </c>
      <c r="D377" s="22">
        <v>2</v>
      </c>
      <c r="E377" s="44">
        <v>932.3</v>
      </c>
      <c r="F377" s="44">
        <f t="shared" si="2"/>
        <v>1864.6</v>
      </c>
      <c r="G377" s="19" t="s">
        <v>50</v>
      </c>
      <c r="H377" s="25">
        <v>2</v>
      </c>
      <c r="I377" s="32"/>
      <c r="J377" s="33"/>
      <c r="K377" s="30"/>
      <c r="L377" s="34"/>
    </row>
    <row r="378" spans="1:12" x14ac:dyDescent="0.25">
      <c r="A378" s="44" t="s">
        <v>349</v>
      </c>
      <c r="B378" s="45" t="s">
        <v>768</v>
      </c>
      <c r="C378" s="44" t="s">
        <v>769</v>
      </c>
      <c r="D378" s="22">
        <v>2</v>
      </c>
      <c r="E378" s="44">
        <v>4559.88</v>
      </c>
      <c r="F378" s="44">
        <f t="shared" si="2"/>
        <v>9119.76</v>
      </c>
      <c r="G378" s="19" t="s">
        <v>50</v>
      </c>
      <c r="H378" s="25">
        <v>2</v>
      </c>
      <c r="I378" s="32"/>
      <c r="J378" s="33"/>
      <c r="K378" s="30"/>
      <c r="L378" s="34"/>
    </row>
    <row r="379" spans="1:12" x14ac:dyDescent="0.25">
      <c r="A379" s="44" t="s">
        <v>349</v>
      </c>
      <c r="B379" s="45" t="s">
        <v>770</v>
      </c>
      <c r="C379" s="44" t="s">
        <v>696</v>
      </c>
      <c r="D379" s="22">
        <v>2</v>
      </c>
      <c r="E379" s="44">
        <v>656.64</v>
      </c>
      <c r="F379" s="44">
        <f t="shared" si="2"/>
        <v>1313.28</v>
      </c>
      <c r="G379" s="19" t="s">
        <v>50</v>
      </c>
      <c r="H379" s="25">
        <v>2</v>
      </c>
      <c r="I379" s="32"/>
      <c r="J379" s="33"/>
      <c r="K379" s="30"/>
      <c r="L379" s="34"/>
    </row>
    <row r="380" spans="1:12" x14ac:dyDescent="0.25">
      <c r="A380" s="44" t="s">
        <v>349</v>
      </c>
      <c r="B380" s="45" t="s">
        <v>771</v>
      </c>
      <c r="C380" s="44" t="s">
        <v>772</v>
      </c>
      <c r="D380" s="22">
        <v>2</v>
      </c>
      <c r="E380" s="44">
        <v>1691.34</v>
      </c>
      <c r="F380" s="44">
        <f t="shared" si="2"/>
        <v>3382.68</v>
      </c>
      <c r="G380" s="47" t="s">
        <v>50</v>
      </c>
      <c r="H380" s="25">
        <v>2</v>
      </c>
      <c r="I380" s="32"/>
      <c r="J380" s="33"/>
      <c r="K380" s="30"/>
      <c r="L380" s="34"/>
    </row>
    <row r="381" spans="1:12" x14ac:dyDescent="0.25">
      <c r="A381" s="44" t="s">
        <v>349</v>
      </c>
      <c r="B381" s="45" t="s">
        <v>773</v>
      </c>
      <c r="C381" s="44" t="s">
        <v>774</v>
      </c>
      <c r="D381" s="22">
        <v>2</v>
      </c>
      <c r="E381" s="44">
        <v>1873.32</v>
      </c>
      <c r="F381" s="44">
        <f t="shared" si="2"/>
        <v>3746.64</v>
      </c>
      <c r="G381" s="47" t="s">
        <v>50</v>
      </c>
      <c r="H381" s="25">
        <v>2</v>
      </c>
      <c r="I381" s="32"/>
      <c r="J381" s="33"/>
      <c r="K381" s="30"/>
      <c r="L381" s="34"/>
    </row>
    <row r="382" spans="1:12" x14ac:dyDescent="0.25">
      <c r="A382" s="44" t="s">
        <v>349</v>
      </c>
      <c r="B382" s="45" t="s">
        <v>775</v>
      </c>
      <c r="C382" s="44" t="s">
        <v>776</v>
      </c>
      <c r="D382" s="22">
        <v>2</v>
      </c>
      <c r="E382" s="44">
        <v>529.82000000000005</v>
      </c>
      <c r="F382" s="44">
        <f t="shared" si="2"/>
        <v>1059.6400000000001</v>
      </c>
      <c r="G382" s="47" t="s">
        <v>38</v>
      </c>
      <c r="H382" s="25">
        <v>2</v>
      </c>
      <c r="I382" s="32"/>
      <c r="J382" s="33"/>
      <c r="K382" s="30"/>
      <c r="L382" s="34"/>
    </row>
    <row r="383" spans="1:12" x14ac:dyDescent="0.25">
      <c r="A383" s="44" t="s">
        <v>349</v>
      </c>
      <c r="B383" s="45" t="s">
        <v>777</v>
      </c>
      <c r="C383" s="44" t="s">
        <v>778</v>
      </c>
      <c r="D383" s="22">
        <v>2</v>
      </c>
      <c r="E383" s="44">
        <v>893.2</v>
      </c>
      <c r="F383" s="44">
        <f t="shared" si="2"/>
        <v>1786.4</v>
      </c>
      <c r="G383" s="19" t="s">
        <v>50</v>
      </c>
      <c r="H383" s="25">
        <v>2</v>
      </c>
      <c r="I383" s="32"/>
      <c r="J383" s="33"/>
      <c r="K383" s="30"/>
      <c r="L383" s="34"/>
    </row>
    <row r="384" spans="1:12" x14ac:dyDescent="0.25">
      <c r="A384" s="35" t="s">
        <v>779</v>
      </c>
      <c r="B384" s="36" t="s">
        <v>780</v>
      </c>
      <c r="C384" s="35" t="s">
        <v>781</v>
      </c>
      <c r="D384" s="22">
        <v>2</v>
      </c>
      <c r="E384" s="46">
        <v>1453.49</v>
      </c>
      <c r="F384" s="44">
        <f t="shared" si="2"/>
        <v>2906.98</v>
      </c>
      <c r="G384" s="25" t="s">
        <v>18</v>
      </c>
      <c r="H384" s="25">
        <v>2</v>
      </c>
      <c r="I384" s="32"/>
      <c r="J384" s="33"/>
      <c r="K384" s="30"/>
      <c r="L384" s="34"/>
    </row>
    <row r="385" spans="1:12" x14ac:dyDescent="0.25">
      <c r="A385" s="44" t="s">
        <v>779</v>
      </c>
      <c r="B385" s="45" t="s">
        <v>782</v>
      </c>
      <c r="C385" s="44" t="s">
        <v>783</v>
      </c>
      <c r="D385" s="22">
        <v>2</v>
      </c>
      <c r="E385" s="44">
        <v>1891.44</v>
      </c>
      <c r="F385" s="44">
        <f t="shared" si="2"/>
        <v>3782.88</v>
      </c>
      <c r="G385" s="19" t="s">
        <v>18</v>
      </c>
      <c r="H385" s="25">
        <v>2</v>
      </c>
      <c r="I385" s="32"/>
      <c r="J385" s="33"/>
      <c r="K385" s="30"/>
      <c r="L385" s="34"/>
    </row>
    <row r="386" spans="1:12" x14ac:dyDescent="0.25">
      <c r="A386" s="44" t="s">
        <v>784</v>
      </c>
      <c r="B386" s="45" t="s">
        <v>785</v>
      </c>
      <c r="C386" s="44" t="s">
        <v>786</v>
      </c>
      <c r="D386" s="22">
        <v>2</v>
      </c>
      <c r="E386" s="44">
        <v>491.18</v>
      </c>
      <c r="F386" s="44">
        <f t="shared" si="2"/>
        <v>982.36</v>
      </c>
      <c r="G386" s="19" t="s">
        <v>18</v>
      </c>
      <c r="H386" s="25">
        <v>2</v>
      </c>
      <c r="I386" s="32"/>
      <c r="J386" s="33"/>
      <c r="K386" s="30"/>
      <c r="L386" s="34"/>
    </row>
    <row r="387" spans="1:12" x14ac:dyDescent="0.25">
      <c r="A387" s="44" t="s">
        <v>286</v>
      </c>
      <c r="B387" s="45" t="s">
        <v>787</v>
      </c>
      <c r="C387" s="44" t="s">
        <v>788</v>
      </c>
      <c r="D387" s="22">
        <v>2</v>
      </c>
      <c r="E387" s="44">
        <v>7717.82</v>
      </c>
      <c r="F387" s="44">
        <f t="shared" si="2"/>
        <v>15435.64</v>
      </c>
      <c r="G387" s="19" t="s">
        <v>18</v>
      </c>
      <c r="H387" s="25">
        <v>2</v>
      </c>
      <c r="I387" s="32"/>
      <c r="J387" s="33"/>
      <c r="K387" s="30"/>
      <c r="L387" s="34"/>
    </row>
    <row r="388" spans="1:12" x14ac:dyDescent="0.25">
      <c r="A388" s="44" t="s">
        <v>286</v>
      </c>
      <c r="B388" s="45" t="s">
        <v>789</v>
      </c>
      <c r="C388" s="44" t="s">
        <v>790</v>
      </c>
      <c r="D388" s="22">
        <v>2</v>
      </c>
      <c r="E388" s="44">
        <v>14167.56</v>
      </c>
      <c r="F388" s="44">
        <f t="shared" si="2"/>
        <v>28335.119999999999</v>
      </c>
      <c r="G388" s="19" t="s">
        <v>18</v>
      </c>
      <c r="H388" s="25">
        <v>2</v>
      </c>
      <c r="I388" s="32"/>
      <c r="J388" s="33"/>
      <c r="K388" s="30"/>
      <c r="L388" s="34"/>
    </row>
    <row r="389" spans="1:12" x14ac:dyDescent="0.25">
      <c r="A389" s="44" t="s">
        <v>286</v>
      </c>
      <c r="B389" s="45" t="s">
        <v>791</v>
      </c>
      <c r="C389" s="44" t="s">
        <v>790</v>
      </c>
      <c r="D389" s="22">
        <v>2</v>
      </c>
      <c r="E389" s="44">
        <v>15518.74</v>
      </c>
      <c r="F389" s="44">
        <f t="shared" si="2"/>
        <v>31037.48</v>
      </c>
      <c r="G389" s="25" t="s">
        <v>18</v>
      </c>
      <c r="H389" s="25">
        <v>2</v>
      </c>
      <c r="I389" s="32"/>
      <c r="J389" s="33"/>
      <c r="K389" s="30"/>
      <c r="L389" s="34"/>
    </row>
    <row r="390" spans="1:12" x14ac:dyDescent="0.25">
      <c r="A390" s="44" t="s">
        <v>792</v>
      </c>
      <c r="B390" s="45" t="s">
        <v>284</v>
      </c>
      <c r="C390" s="44" t="s">
        <v>793</v>
      </c>
      <c r="D390" s="22">
        <v>2</v>
      </c>
      <c r="E390" s="44">
        <v>939.9</v>
      </c>
      <c r="F390" s="44">
        <f t="shared" si="2"/>
        <v>1879.8</v>
      </c>
      <c r="G390" s="19" t="s">
        <v>18</v>
      </c>
      <c r="H390" s="25">
        <v>2</v>
      </c>
      <c r="I390" s="32"/>
      <c r="J390" s="33"/>
      <c r="K390" s="30"/>
      <c r="L390" s="34"/>
    </row>
    <row r="391" spans="1:12" x14ac:dyDescent="0.25">
      <c r="A391" s="44" t="s">
        <v>792</v>
      </c>
      <c r="B391" s="45" t="s">
        <v>794</v>
      </c>
      <c r="C391" s="44" t="s">
        <v>795</v>
      </c>
      <c r="D391" s="22">
        <v>2</v>
      </c>
      <c r="E391" s="44">
        <v>10458.799999999999</v>
      </c>
      <c r="F391" s="44">
        <f t="shared" si="2"/>
        <v>20917.599999999999</v>
      </c>
      <c r="G391" s="19" t="s">
        <v>18</v>
      </c>
      <c r="H391" s="25">
        <v>2</v>
      </c>
      <c r="I391" s="32"/>
      <c r="J391" s="33"/>
      <c r="K391" s="30"/>
      <c r="L391" s="34"/>
    </row>
    <row r="392" spans="1:12" x14ac:dyDescent="0.25">
      <c r="A392" s="44" t="s">
        <v>792</v>
      </c>
      <c r="B392" s="45" t="s">
        <v>371</v>
      </c>
      <c r="C392" s="44" t="s">
        <v>796</v>
      </c>
      <c r="D392" s="22">
        <v>2</v>
      </c>
      <c r="E392" s="44">
        <v>3383.91</v>
      </c>
      <c r="F392" s="44">
        <f t="shared" si="2"/>
        <v>6767.82</v>
      </c>
      <c r="G392" s="19" t="s">
        <v>18</v>
      </c>
      <c r="H392" s="25">
        <v>2</v>
      </c>
      <c r="I392" s="32"/>
      <c r="J392" s="33"/>
      <c r="K392" s="30"/>
      <c r="L392" s="34"/>
    </row>
    <row r="393" spans="1:12" x14ac:dyDescent="0.25">
      <c r="A393" s="44" t="s">
        <v>797</v>
      </c>
      <c r="B393" s="45" t="s">
        <v>798</v>
      </c>
      <c r="C393" s="44" t="s">
        <v>799</v>
      </c>
      <c r="D393" s="22">
        <v>2</v>
      </c>
      <c r="E393" s="44">
        <v>7347.36</v>
      </c>
      <c r="F393" s="44">
        <f t="shared" si="2"/>
        <v>14694.72</v>
      </c>
      <c r="G393" s="19" t="s">
        <v>18</v>
      </c>
      <c r="H393" s="25">
        <v>2</v>
      </c>
      <c r="I393" s="32"/>
      <c r="J393" s="33"/>
      <c r="K393" s="30"/>
      <c r="L393" s="34"/>
    </row>
    <row r="394" spans="1:12" x14ac:dyDescent="0.25">
      <c r="A394" s="35" t="s">
        <v>797</v>
      </c>
      <c r="B394" s="36" t="s">
        <v>800</v>
      </c>
      <c r="C394" s="35" t="s">
        <v>545</v>
      </c>
      <c r="D394" s="22">
        <v>2</v>
      </c>
      <c r="E394" s="46">
        <v>4507.3599999999997</v>
      </c>
      <c r="F394" s="44">
        <f t="shared" si="2"/>
        <v>9014.7199999999993</v>
      </c>
      <c r="G394" s="25" t="s">
        <v>18</v>
      </c>
      <c r="H394" s="25">
        <v>2</v>
      </c>
      <c r="I394" s="32"/>
      <c r="J394" s="33"/>
      <c r="K394" s="30"/>
      <c r="L394" s="34"/>
    </row>
    <row r="395" spans="1:12" x14ac:dyDescent="0.25">
      <c r="A395" s="35" t="s">
        <v>797</v>
      </c>
      <c r="B395" s="36" t="s">
        <v>801</v>
      </c>
      <c r="C395" s="35" t="s">
        <v>802</v>
      </c>
      <c r="D395" s="22">
        <v>2</v>
      </c>
      <c r="E395" s="46">
        <v>7110.9</v>
      </c>
      <c r="F395" s="44">
        <f t="shared" si="2"/>
        <v>14221.8</v>
      </c>
      <c r="G395" s="25" t="s">
        <v>18</v>
      </c>
      <c r="H395" s="25">
        <v>2</v>
      </c>
      <c r="I395" s="32"/>
      <c r="J395" s="33"/>
      <c r="K395" s="30"/>
      <c r="L395" s="34"/>
    </row>
    <row r="396" spans="1:12" x14ac:dyDescent="0.25">
      <c r="A396" s="44" t="s">
        <v>797</v>
      </c>
      <c r="B396" s="45" t="s">
        <v>803</v>
      </c>
      <c r="C396" s="44" t="s">
        <v>804</v>
      </c>
      <c r="D396" s="22">
        <v>2</v>
      </c>
      <c r="E396" s="44">
        <v>9269.1299999999992</v>
      </c>
      <c r="F396" s="35">
        <f t="shared" si="2"/>
        <v>18538.259999999998</v>
      </c>
      <c r="G396" s="19" t="s">
        <v>18</v>
      </c>
      <c r="H396" s="25">
        <v>2</v>
      </c>
      <c r="I396" s="32"/>
      <c r="J396" s="33"/>
      <c r="K396" s="30"/>
      <c r="L396" s="34"/>
    </row>
    <row r="397" spans="1:12" x14ac:dyDescent="0.25">
      <c r="A397" s="44" t="s">
        <v>797</v>
      </c>
      <c r="B397" s="45" t="s">
        <v>805</v>
      </c>
      <c r="C397" s="44" t="s">
        <v>802</v>
      </c>
      <c r="D397" s="22">
        <v>2</v>
      </c>
      <c r="E397" s="44">
        <v>5271.01</v>
      </c>
      <c r="F397" s="35">
        <f t="shared" si="2"/>
        <v>10542.02</v>
      </c>
      <c r="G397" s="19" t="s">
        <v>18</v>
      </c>
      <c r="H397" s="25">
        <v>2</v>
      </c>
      <c r="I397" s="32"/>
      <c r="J397" s="33"/>
      <c r="K397" s="30"/>
      <c r="L397" s="34"/>
    </row>
    <row r="398" spans="1:12" x14ac:dyDescent="0.25">
      <c r="A398" s="44" t="s">
        <v>797</v>
      </c>
      <c r="B398" s="45" t="s">
        <v>806</v>
      </c>
      <c r="C398" s="44" t="s">
        <v>419</v>
      </c>
      <c r="D398" s="22">
        <v>2</v>
      </c>
      <c r="E398" s="44">
        <v>9047.17</v>
      </c>
      <c r="F398" s="35">
        <f t="shared" si="2"/>
        <v>18094.34</v>
      </c>
      <c r="G398" s="19" t="s">
        <v>18</v>
      </c>
      <c r="H398" s="25">
        <v>2</v>
      </c>
      <c r="I398" s="32"/>
      <c r="J398" s="33"/>
      <c r="K398" s="30"/>
      <c r="L398" s="34"/>
    </row>
    <row r="399" spans="1:12" x14ac:dyDescent="0.25">
      <c r="A399" s="44" t="s">
        <v>797</v>
      </c>
      <c r="B399" s="45" t="s">
        <v>807</v>
      </c>
      <c r="C399" s="44" t="s">
        <v>804</v>
      </c>
      <c r="D399" s="22">
        <v>2</v>
      </c>
      <c r="E399" s="44">
        <v>10345.85</v>
      </c>
      <c r="F399" s="35">
        <f t="shared" si="2"/>
        <v>20691.7</v>
      </c>
      <c r="G399" s="19" t="s">
        <v>18</v>
      </c>
      <c r="H399" s="25">
        <v>2</v>
      </c>
      <c r="I399" s="32"/>
      <c r="J399" s="33"/>
      <c r="K399" s="30"/>
      <c r="L399" s="34"/>
    </row>
    <row r="400" spans="1:12" x14ac:dyDescent="0.25">
      <c r="A400" s="44" t="s">
        <v>797</v>
      </c>
      <c r="B400" s="45" t="s">
        <v>808</v>
      </c>
      <c r="C400" s="44" t="s">
        <v>552</v>
      </c>
      <c r="D400" s="22">
        <v>2</v>
      </c>
      <c r="E400" s="44">
        <v>3958.33</v>
      </c>
      <c r="F400" s="44">
        <f t="shared" si="2"/>
        <v>7916.66</v>
      </c>
      <c r="G400" s="19" t="s">
        <v>18</v>
      </c>
      <c r="H400" s="25">
        <v>2</v>
      </c>
      <c r="I400" s="32"/>
      <c r="J400" s="33"/>
      <c r="K400" s="30"/>
      <c r="L400" s="34"/>
    </row>
    <row r="401" spans="1:12" x14ac:dyDescent="0.25">
      <c r="A401" s="44" t="s">
        <v>809</v>
      </c>
      <c r="B401" s="45" t="s">
        <v>810</v>
      </c>
      <c r="C401" s="44" t="s">
        <v>811</v>
      </c>
      <c r="D401" s="22">
        <v>2</v>
      </c>
      <c r="E401" s="44">
        <v>776.34</v>
      </c>
      <c r="F401" s="44">
        <f t="shared" si="2"/>
        <v>1552.68</v>
      </c>
      <c r="G401" s="47" t="s">
        <v>50</v>
      </c>
      <c r="H401" s="25">
        <v>2</v>
      </c>
      <c r="I401" s="32"/>
      <c r="J401" s="33"/>
      <c r="K401" s="30"/>
      <c r="L401" s="34"/>
    </row>
    <row r="402" spans="1:12" x14ac:dyDescent="0.25">
      <c r="A402" s="44" t="s">
        <v>809</v>
      </c>
      <c r="B402" s="45" t="s">
        <v>812</v>
      </c>
      <c r="C402" s="44" t="s">
        <v>813</v>
      </c>
      <c r="D402" s="22">
        <v>2</v>
      </c>
      <c r="E402" s="44">
        <v>1802.84</v>
      </c>
      <c r="F402" s="35">
        <f t="shared" si="2"/>
        <v>3605.68</v>
      </c>
      <c r="G402" s="25" t="s">
        <v>38</v>
      </c>
      <c r="H402" s="25">
        <v>2</v>
      </c>
      <c r="I402" s="32"/>
      <c r="J402" s="33"/>
      <c r="K402" s="30"/>
      <c r="L402" s="34"/>
    </row>
    <row r="403" spans="1:12" x14ac:dyDescent="0.25">
      <c r="A403" s="44" t="s">
        <v>814</v>
      </c>
      <c r="B403" s="45" t="s">
        <v>815</v>
      </c>
      <c r="C403" s="44" t="s">
        <v>816</v>
      </c>
      <c r="D403" s="22">
        <v>2</v>
      </c>
      <c r="E403" s="44">
        <v>948.78</v>
      </c>
      <c r="F403" s="44">
        <f t="shared" si="2"/>
        <v>1897.56</v>
      </c>
      <c r="G403" s="19" t="s">
        <v>18</v>
      </c>
      <c r="H403" s="25">
        <v>2</v>
      </c>
      <c r="I403" s="32"/>
      <c r="J403" s="33"/>
      <c r="K403" s="30"/>
      <c r="L403" s="34"/>
    </row>
    <row r="404" spans="1:12" x14ac:dyDescent="0.25">
      <c r="A404" s="44" t="s">
        <v>817</v>
      </c>
      <c r="B404" s="45" t="s">
        <v>818</v>
      </c>
      <c r="C404" s="44" t="s">
        <v>749</v>
      </c>
      <c r="D404" s="22">
        <v>2</v>
      </c>
      <c r="E404" s="44">
        <v>1108.45</v>
      </c>
      <c r="F404" s="44">
        <f t="shared" si="2"/>
        <v>2216.9</v>
      </c>
      <c r="G404" s="19" t="s">
        <v>18</v>
      </c>
      <c r="H404" s="25">
        <v>2</v>
      </c>
      <c r="I404" s="32"/>
      <c r="J404" s="33"/>
      <c r="K404" s="30"/>
      <c r="L404" s="34"/>
    </row>
    <row r="405" spans="1:12" x14ac:dyDescent="0.25">
      <c r="A405" s="44" t="s">
        <v>817</v>
      </c>
      <c r="B405" s="45" t="s">
        <v>819</v>
      </c>
      <c r="C405" s="44" t="s">
        <v>749</v>
      </c>
      <c r="D405" s="22">
        <v>2</v>
      </c>
      <c r="E405" s="44">
        <v>1636.79</v>
      </c>
      <c r="F405" s="44">
        <f t="shared" si="2"/>
        <v>3273.58</v>
      </c>
      <c r="G405" s="25" t="s">
        <v>18</v>
      </c>
      <c r="H405" s="25">
        <v>2</v>
      </c>
      <c r="I405" s="32"/>
      <c r="J405" s="33"/>
      <c r="K405" s="30"/>
      <c r="L405" s="34"/>
    </row>
    <row r="406" spans="1:12" x14ac:dyDescent="0.25">
      <c r="A406" s="44" t="s">
        <v>817</v>
      </c>
      <c r="B406" s="45" t="s">
        <v>820</v>
      </c>
      <c r="C406" s="44" t="s">
        <v>821</v>
      </c>
      <c r="D406" s="22">
        <v>2</v>
      </c>
      <c r="E406" s="44">
        <v>8720.52</v>
      </c>
      <c r="F406" s="35">
        <f t="shared" si="2"/>
        <v>17441.04</v>
      </c>
      <c r="G406" s="19" t="s">
        <v>18</v>
      </c>
      <c r="H406" s="25">
        <v>2</v>
      </c>
      <c r="I406" s="32"/>
      <c r="J406" s="33"/>
      <c r="K406" s="30"/>
      <c r="L406" s="34"/>
    </row>
    <row r="407" spans="1:12" x14ac:dyDescent="0.25">
      <c r="A407" s="44" t="s">
        <v>817</v>
      </c>
      <c r="B407" s="45" t="s">
        <v>822</v>
      </c>
      <c r="C407" s="44" t="s">
        <v>823</v>
      </c>
      <c r="D407" s="22">
        <v>2</v>
      </c>
      <c r="E407" s="44">
        <v>2259.8200000000002</v>
      </c>
      <c r="F407" s="44">
        <f t="shared" si="2"/>
        <v>4519.6400000000003</v>
      </c>
      <c r="G407" s="19" t="s">
        <v>18</v>
      </c>
      <c r="H407" s="25">
        <v>2</v>
      </c>
      <c r="I407" s="32"/>
      <c r="J407" s="33"/>
      <c r="K407" s="30"/>
      <c r="L407" s="34"/>
    </row>
    <row r="408" spans="1:12" x14ac:dyDescent="0.25">
      <c r="A408" s="44" t="s">
        <v>817</v>
      </c>
      <c r="B408" s="45" t="s">
        <v>824</v>
      </c>
      <c r="C408" s="44" t="s">
        <v>749</v>
      </c>
      <c r="D408" s="22">
        <v>2</v>
      </c>
      <c r="E408" s="44">
        <v>903.86</v>
      </c>
      <c r="F408" s="44">
        <f t="shared" si="2"/>
        <v>1807.72</v>
      </c>
      <c r="G408" s="19" t="s">
        <v>50</v>
      </c>
      <c r="H408" s="25">
        <v>2</v>
      </c>
      <c r="I408" s="32"/>
      <c r="J408" s="33"/>
      <c r="K408" s="30"/>
      <c r="L408" s="34"/>
    </row>
    <row r="409" spans="1:12" x14ac:dyDescent="0.25">
      <c r="A409" s="35" t="s">
        <v>148</v>
      </c>
      <c r="B409" s="36" t="s">
        <v>825</v>
      </c>
      <c r="C409" s="35" t="s">
        <v>826</v>
      </c>
      <c r="D409" s="22">
        <v>2</v>
      </c>
      <c r="E409" s="46">
        <v>2128.69</v>
      </c>
      <c r="F409" s="44">
        <f t="shared" si="2"/>
        <v>4257.38</v>
      </c>
      <c r="G409" s="25" t="s">
        <v>18</v>
      </c>
      <c r="H409" s="25">
        <v>2</v>
      </c>
      <c r="I409" s="32"/>
      <c r="J409" s="33"/>
      <c r="K409" s="30"/>
      <c r="L409" s="34"/>
    </row>
    <row r="410" spans="1:12" x14ac:dyDescent="0.25">
      <c r="A410" s="44" t="s">
        <v>827</v>
      </c>
      <c r="B410" s="45" t="s">
        <v>828</v>
      </c>
      <c r="C410" s="44" t="s">
        <v>829</v>
      </c>
      <c r="D410" s="22">
        <v>2</v>
      </c>
      <c r="E410" s="44">
        <v>160.31</v>
      </c>
      <c r="F410" s="44">
        <f t="shared" si="2"/>
        <v>320.62</v>
      </c>
      <c r="G410" s="19" t="s">
        <v>50</v>
      </c>
      <c r="H410" s="25">
        <v>2</v>
      </c>
      <c r="I410" s="32"/>
      <c r="J410" s="33"/>
      <c r="K410" s="30"/>
      <c r="L410" s="34"/>
    </row>
    <row r="411" spans="1:12" x14ac:dyDescent="0.25">
      <c r="A411" s="44" t="s">
        <v>827</v>
      </c>
      <c r="B411" s="45" t="s">
        <v>156</v>
      </c>
      <c r="C411" s="44" t="s">
        <v>219</v>
      </c>
      <c r="D411" s="22">
        <v>2</v>
      </c>
      <c r="E411" s="44">
        <v>2322.0100000000002</v>
      </c>
      <c r="F411" s="44">
        <f t="shared" si="2"/>
        <v>4644.0200000000004</v>
      </c>
      <c r="G411" s="19" t="s">
        <v>50</v>
      </c>
      <c r="H411" s="25">
        <v>2</v>
      </c>
      <c r="I411" s="32"/>
      <c r="J411" s="33"/>
      <c r="K411" s="30"/>
      <c r="L411" s="34"/>
    </row>
    <row r="412" spans="1:12" x14ac:dyDescent="0.25">
      <c r="A412" s="44" t="s">
        <v>827</v>
      </c>
      <c r="B412" s="45" t="s">
        <v>158</v>
      </c>
      <c r="C412" s="44" t="s">
        <v>219</v>
      </c>
      <c r="D412" s="22">
        <v>2</v>
      </c>
      <c r="E412" s="44">
        <v>2507.0500000000002</v>
      </c>
      <c r="F412" s="44">
        <f t="shared" si="2"/>
        <v>5014.1000000000004</v>
      </c>
      <c r="G412" s="19" t="s">
        <v>50</v>
      </c>
      <c r="H412" s="25">
        <v>2</v>
      </c>
      <c r="I412" s="32"/>
      <c r="J412" s="33"/>
      <c r="K412" s="30"/>
      <c r="L412" s="34"/>
    </row>
    <row r="413" spans="1:12" x14ac:dyDescent="0.25">
      <c r="A413" s="44" t="s">
        <v>827</v>
      </c>
      <c r="B413" s="45" t="s">
        <v>830</v>
      </c>
      <c r="C413" s="44" t="s">
        <v>831</v>
      </c>
      <c r="D413" s="22">
        <v>2</v>
      </c>
      <c r="E413" s="44">
        <v>1719.92</v>
      </c>
      <c r="F413" s="44">
        <f t="shared" si="2"/>
        <v>3439.84</v>
      </c>
      <c r="G413" s="19" t="s">
        <v>38</v>
      </c>
      <c r="H413" s="25">
        <v>2</v>
      </c>
      <c r="I413" s="32"/>
      <c r="J413" s="33"/>
      <c r="K413" s="30"/>
      <c r="L413" s="34"/>
    </row>
    <row r="414" spans="1:12" x14ac:dyDescent="0.25">
      <c r="A414" s="44" t="s">
        <v>827</v>
      </c>
      <c r="B414" s="45" t="s">
        <v>832</v>
      </c>
      <c r="C414" s="44" t="s">
        <v>833</v>
      </c>
      <c r="D414" s="22">
        <v>2</v>
      </c>
      <c r="E414" s="44">
        <v>690.86</v>
      </c>
      <c r="F414" s="44">
        <f t="shared" si="2"/>
        <v>1381.72</v>
      </c>
      <c r="G414" s="19" t="s">
        <v>18</v>
      </c>
      <c r="H414" s="25">
        <v>2</v>
      </c>
      <c r="I414" s="32"/>
      <c r="J414" s="33"/>
      <c r="K414" s="30"/>
      <c r="L414" s="34"/>
    </row>
    <row r="415" spans="1:12" x14ac:dyDescent="0.25">
      <c r="A415" s="44" t="s">
        <v>827</v>
      </c>
      <c r="B415" s="45" t="s">
        <v>834</v>
      </c>
      <c r="C415" s="44" t="s">
        <v>835</v>
      </c>
      <c r="D415" s="22">
        <v>2</v>
      </c>
      <c r="E415" s="44">
        <v>56.98</v>
      </c>
      <c r="F415" s="44">
        <f t="shared" si="2"/>
        <v>113.96</v>
      </c>
      <c r="G415" s="25" t="s">
        <v>50</v>
      </c>
      <c r="H415" s="25">
        <v>2</v>
      </c>
      <c r="I415" s="32"/>
      <c r="J415" s="33"/>
      <c r="K415" s="30"/>
      <c r="L415" s="34"/>
    </row>
    <row r="416" spans="1:12" x14ac:dyDescent="0.25">
      <c r="A416" s="44" t="s">
        <v>836</v>
      </c>
      <c r="B416" s="45" t="s">
        <v>837</v>
      </c>
      <c r="C416" s="44" t="s">
        <v>838</v>
      </c>
      <c r="D416" s="22">
        <v>2</v>
      </c>
      <c r="E416" s="44">
        <v>407</v>
      </c>
      <c r="F416" s="44">
        <f t="shared" si="2"/>
        <v>814</v>
      </c>
      <c r="G416" s="19" t="s">
        <v>18</v>
      </c>
      <c r="H416" s="25">
        <v>2</v>
      </c>
      <c r="I416" s="32"/>
      <c r="J416" s="33"/>
      <c r="K416" s="30"/>
      <c r="L416" s="34"/>
    </row>
    <row r="417" spans="1:12" x14ac:dyDescent="0.25">
      <c r="A417" s="44" t="s">
        <v>836</v>
      </c>
      <c r="B417" s="45" t="s">
        <v>839</v>
      </c>
      <c r="C417" s="44" t="s">
        <v>840</v>
      </c>
      <c r="D417" s="22">
        <v>2</v>
      </c>
      <c r="E417" s="44">
        <v>804.68</v>
      </c>
      <c r="F417" s="44">
        <f t="shared" si="2"/>
        <v>1609.36</v>
      </c>
      <c r="G417" s="19" t="s">
        <v>50</v>
      </c>
      <c r="H417" s="25">
        <v>2</v>
      </c>
      <c r="I417" s="32"/>
      <c r="J417" s="33"/>
      <c r="K417" s="30"/>
      <c r="L417" s="34"/>
    </row>
    <row r="418" spans="1:12" x14ac:dyDescent="0.25">
      <c r="A418" s="35" t="s">
        <v>836</v>
      </c>
      <c r="B418" s="36" t="s">
        <v>841</v>
      </c>
      <c r="C418" s="35" t="s">
        <v>842</v>
      </c>
      <c r="D418" s="22">
        <v>2</v>
      </c>
      <c r="E418" s="46">
        <v>30.25</v>
      </c>
      <c r="F418" s="44">
        <f t="shared" si="2"/>
        <v>60.5</v>
      </c>
      <c r="G418" s="25" t="s">
        <v>18</v>
      </c>
      <c r="H418" s="25">
        <v>2</v>
      </c>
      <c r="I418" s="32"/>
      <c r="J418" s="33"/>
      <c r="K418" s="30"/>
      <c r="L418" s="34"/>
    </row>
    <row r="419" spans="1:12" x14ac:dyDescent="0.25">
      <c r="A419" s="44" t="s">
        <v>836</v>
      </c>
      <c r="B419" s="45" t="s">
        <v>843</v>
      </c>
      <c r="C419" s="44" t="s">
        <v>844</v>
      </c>
      <c r="D419" s="22">
        <v>2</v>
      </c>
      <c r="E419" s="44">
        <v>30.95</v>
      </c>
      <c r="F419" s="35">
        <f t="shared" ref="F419:F470" si="3">E419*D419</f>
        <v>61.9</v>
      </c>
      <c r="G419" s="19" t="s">
        <v>18</v>
      </c>
      <c r="H419" s="25">
        <v>2</v>
      </c>
      <c r="I419" s="32"/>
      <c r="J419" s="33"/>
      <c r="K419" s="30"/>
      <c r="L419" s="34"/>
    </row>
    <row r="420" spans="1:12" x14ac:dyDescent="0.25">
      <c r="A420" s="44" t="s">
        <v>836</v>
      </c>
      <c r="B420" s="45" t="s">
        <v>845</v>
      </c>
      <c r="C420" s="44" t="s">
        <v>846</v>
      </c>
      <c r="D420" s="22">
        <v>2</v>
      </c>
      <c r="E420" s="44">
        <v>198.52</v>
      </c>
      <c r="F420" s="44">
        <f t="shared" si="3"/>
        <v>397.04</v>
      </c>
      <c r="G420" s="19" t="s">
        <v>50</v>
      </c>
      <c r="H420" s="25">
        <v>2</v>
      </c>
      <c r="I420" s="32"/>
      <c r="J420" s="33"/>
      <c r="K420" s="30"/>
      <c r="L420" s="34"/>
    </row>
    <row r="421" spans="1:12" x14ac:dyDescent="0.25">
      <c r="A421" s="44" t="s">
        <v>300</v>
      </c>
      <c r="B421" s="45" t="s">
        <v>847</v>
      </c>
      <c r="C421" s="44" t="s">
        <v>848</v>
      </c>
      <c r="D421" s="22">
        <v>2</v>
      </c>
      <c r="E421" s="44">
        <v>3714.99</v>
      </c>
      <c r="F421" s="44">
        <f t="shared" si="3"/>
        <v>7429.98</v>
      </c>
      <c r="G421" s="19" t="s">
        <v>38</v>
      </c>
      <c r="H421" s="25">
        <v>2</v>
      </c>
      <c r="I421" s="32"/>
      <c r="J421" s="33"/>
      <c r="K421" s="30"/>
      <c r="L421" s="34"/>
    </row>
    <row r="422" spans="1:12" x14ac:dyDescent="0.25">
      <c r="A422" s="44" t="s">
        <v>300</v>
      </c>
      <c r="B422" s="45" t="s">
        <v>849</v>
      </c>
      <c r="C422" s="44" t="s">
        <v>848</v>
      </c>
      <c r="D422" s="22">
        <v>2</v>
      </c>
      <c r="E422" s="44">
        <v>3714.99</v>
      </c>
      <c r="F422" s="44">
        <f t="shared" si="3"/>
        <v>7429.98</v>
      </c>
      <c r="G422" s="19" t="s">
        <v>38</v>
      </c>
      <c r="H422" s="25">
        <v>2</v>
      </c>
      <c r="I422" s="32"/>
      <c r="J422" s="33"/>
      <c r="K422" s="30"/>
      <c r="L422" s="34"/>
    </row>
    <row r="423" spans="1:12" x14ac:dyDescent="0.25">
      <c r="A423" s="44" t="s">
        <v>300</v>
      </c>
      <c r="B423" s="45" t="s">
        <v>850</v>
      </c>
      <c r="C423" s="44" t="s">
        <v>161</v>
      </c>
      <c r="D423" s="22">
        <v>2</v>
      </c>
      <c r="E423" s="44">
        <v>1918.7</v>
      </c>
      <c r="F423" s="44">
        <f t="shared" si="3"/>
        <v>3837.4</v>
      </c>
      <c r="G423" s="47" t="s">
        <v>50</v>
      </c>
      <c r="H423" s="25">
        <v>2</v>
      </c>
      <c r="I423" s="32"/>
      <c r="J423" s="33"/>
      <c r="K423" s="30"/>
      <c r="L423" s="34"/>
    </row>
    <row r="424" spans="1:12" x14ac:dyDescent="0.25">
      <c r="A424" s="44" t="s">
        <v>300</v>
      </c>
      <c r="B424" s="45" t="s">
        <v>851</v>
      </c>
      <c r="C424" s="44" t="s">
        <v>161</v>
      </c>
      <c r="D424" s="22">
        <v>2</v>
      </c>
      <c r="E424" s="44">
        <v>1918.7</v>
      </c>
      <c r="F424" s="44">
        <f t="shared" si="3"/>
        <v>3837.4</v>
      </c>
      <c r="G424" s="47" t="s">
        <v>50</v>
      </c>
      <c r="H424" s="25">
        <v>2</v>
      </c>
      <c r="I424" s="32"/>
      <c r="J424" s="33"/>
      <c r="K424" s="30"/>
      <c r="L424" s="34"/>
    </row>
    <row r="425" spans="1:12" x14ac:dyDescent="0.25">
      <c r="A425" s="35" t="s">
        <v>300</v>
      </c>
      <c r="B425" s="36" t="s">
        <v>852</v>
      </c>
      <c r="C425" s="35" t="s">
        <v>161</v>
      </c>
      <c r="D425" s="22">
        <v>2</v>
      </c>
      <c r="E425" s="46">
        <v>1827.5</v>
      </c>
      <c r="F425" s="44">
        <f t="shared" si="3"/>
        <v>3655</v>
      </c>
      <c r="G425" s="25" t="s">
        <v>50</v>
      </c>
      <c r="H425" s="25">
        <v>2</v>
      </c>
      <c r="I425" s="32"/>
      <c r="J425" s="33"/>
      <c r="K425" s="30"/>
      <c r="L425" s="34"/>
    </row>
    <row r="426" spans="1:12" x14ac:dyDescent="0.25">
      <c r="A426" s="44" t="s">
        <v>300</v>
      </c>
      <c r="B426" s="45" t="s">
        <v>853</v>
      </c>
      <c r="C426" s="44" t="s">
        <v>502</v>
      </c>
      <c r="D426" s="22">
        <v>2</v>
      </c>
      <c r="E426" s="44">
        <v>822.31</v>
      </c>
      <c r="F426" s="44">
        <f t="shared" si="3"/>
        <v>1644.62</v>
      </c>
      <c r="G426" s="25" t="s">
        <v>38</v>
      </c>
      <c r="H426" s="25">
        <v>2</v>
      </c>
      <c r="I426" s="32"/>
      <c r="J426" s="33"/>
      <c r="K426" s="30"/>
      <c r="L426" s="34"/>
    </row>
    <row r="427" spans="1:12" x14ac:dyDescent="0.25">
      <c r="A427" s="44" t="s">
        <v>300</v>
      </c>
      <c r="B427" s="45" t="s">
        <v>854</v>
      </c>
      <c r="C427" s="44" t="s">
        <v>16</v>
      </c>
      <c r="D427" s="22">
        <v>2</v>
      </c>
      <c r="E427" s="44">
        <v>410.63</v>
      </c>
      <c r="F427" s="44">
        <f t="shared" si="3"/>
        <v>821.26</v>
      </c>
      <c r="G427" s="19" t="s">
        <v>38</v>
      </c>
      <c r="H427" s="25">
        <v>2</v>
      </c>
      <c r="I427" s="32"/>
      <c r="J427" s="33"/>
      <c r="K427" s="30"/>
      <c r="L427" s="34"/>
    </row>
    <row r="428" spans="1:12" x14ac:dyDescent="0.25">
      <c r="A428" s="44" t="s">
        <v>300</v>
      </c>
      <c r="B428" s="45" t="s">
        <v>855</v>
      </c>
      <c r="C428" s="44" t="s">
        <v>502</v>
      </c>
      <c r="D428" s="22">
        <v>2</v>
      </c>
      <c r="E428" s="44">
        <v>485.15</v>
      </c>
      <c r="F428" s="44">
        <f t="shared" si="3"/>
        <v>970.3</v>
      </c>
      <c r="G428" s="19" t="s">
        <v>38</v>
      </c>
      <c r="H428" s="25">
        <v>2</v>
      </c>
      <c r="I428" s="32"/>
      <c r="J428" s="33"/>
      <c r="K428" s="30"/>
      <c r="L428" s="34"/>
    </row>
    <row r="429" spans="1:12" x14ac:dyDescent="0.25">
      <c r="A429" s="44" t="s">
        <v>300</v>
      </c>
      <c r="B429" s="45" t="s">
        <v>301</v>
      </c>
      <c r="C429" s="44" t="s">
        <v>161</v>
      </c>
      <c r="D429" s="22">
        <v>2</v>
      </c>
      <c r="E429" s="44">
        <v>3881.19</v>
      </c>
      <c r="F429" s="44">
        <f t="shared" si="3"/>
        <v>7762.38</v>
      </c>
      <c r="G429" s="25" t="s">
        <v>50</v>
      </c>
      <c r="H429" s="25">
        <v>2</v>
      </c>
      <c r="I429" s="32"/>
      <c r="J429" s="33"/>
      <c r="K429" s="30"/>
      <c r="L429" s="34"/>
    </row>
    <row r="430" spans="1:12" x14ac:dyDescent="0.25">
      <c r="A430" s="44" t="s">
        <v>856</v>
      </c>
      <c r="B430" s="45" t="s">
        <v>857</v>
      </c>
      <c r="C430" s="44" t="s">
        <v>858</v>
      </c>
      <c r="D430" s="22">
        <v>2</v>
      </c>
      <c r="E430" s="44">
        <v>609.55999999999995</v>
      </c>
      <c r="F430" s="44">
        <f t="shared" si="3"/>
        <v>1219.1199999999999</v>
      </c>
      <c r="G430" s="19" t="s">
        <v>18</v>
      </c>
      <c r="H430" s="25">
        <v>2</v>
      </c>
      <c r="I430" s="32"/>
      <c r="J430" s="33"/>
      <c r="K430" s="30"/>
      <c r="L430" s="34"/>
    </row>
    <row r="431" spans="1:12" x14ac:dyDescent="0.25">
      <c r="A431" s="44" t="s">
        <v>856</v>
      </c>
      <c r="B431" s="45" t="s">
        <v>857</v>
      </c>
      <c r="C431" s="44" t="s">
        <v>858</v>
      </c>
      <c r="D431" s="22">
        <v>2</v>
      </c>
      <c r="E431" s="44">
        <v>624.91999999999996</v>
      </c>
      <c r="F431" s="44">
        <f t="shared" si="3"/>
        <v>1249.8399999999999</v>
      </c>
      <c r="G431" s="19" t="s">
        <v>859</v>
      </c>
      <c r="H431" s="25">
        <v>2</v>
      </c>
      <c r="I431" s="32"/>
      <c r="J431" s="33"/>
      <c r="K431" s="30"/>
      <c r="L431" s="34"/>
    </row>
    <row r="432" spans="1:12" x14ac:dyDescent="0.25">
      <c r="A432" s="44" t="s">
        <v>856</v>
      </c>
      <c r="B432" s="45" t="s">
        <v>860</v>
      </c>
      <c r="C432" s="44" t="s">
        <v>861</v>
      </c>
      <c r="D432" s="22">
        <v>2</v>
      </c>
      <c r="E432" s="44">
        <v>409.2</v>
      </c>
      <c r="F432" s="44">
        <f t="shared" si="3"/>
        <v>818.4</v>
      </c>
      <c r="G432" s="19" t="s">
        <v>18</v>
      </c>
      <c r="H432" s="25">
        <v>2</v>
      </c>
      <c r="I432" s="32"/>
      <c r="J432" s="33"/>
      <c r="K432" s="30"/>
      <c r="L432" s="34"/>
    </row>
    <row r="433" spans="1:12" x14ac:dyDescent="0.25">
      <c r="A433" s="44" t="s">
        <v>856</v>
      </c>
      <c r="B433" s="45" t="s">
        <v>862</v>
      </c>
      <c r="C433" s="44" t="s">
        <v>863</v>
      </c>
      <c r="D433" s="22">
        <v>2</v>
      </c>
      <c r="E433" s="44">
        <v>416</v>
      </c>
      <c r="F433" s="44">
        <f t="shared" si="3"/>
        <v>832</v>
      </c>
      <c r="G433" s="19" t="s">
        <v>50</v>
      </c>
      <c r="H433" s="25">
        <v>2</v>
      </c>
      <c r="I433" s="32"/>
      <c r="J433" s="33"/>
      <c r="K433" s="30"/>
      <c r="L433" s="34"/>
    </row>
    <row r="434" spans="1:12" x14ac:dyDescent="0.25">
      <c r="A434" s="44" t="s">
        <v>167</v>
      </c>
      <c r="B434" s="45" t="s">
        <v>864</v>
      </c>
      <c r="C434" s="44" t="s">
        <v>865</v>
      </c>
      <c r="D434" s="22">
        <v>2</v>
      </c>
      <c r="E434" s="44">
        <v>1609.75</v>
      </c>
      <c r="F434" s="44">
        <f t="shared" si="3"/>
        <v>3219.5</v>
      </c>
      <c r="G434" s="19" t="s">
        <v>18</v>
      </c>
      <c r="H434" s="25">
        <v>2</v>
      </c>
      <c r="I434" s="32"/>
      <c r="J434" s="33"/>
      <c r="K434" s="30"/>
      <c r="L434" s="34"/>
    </row>
    <row r="435" spans="1:12" x14ac:dyDescent="0.25">
      <c r="A435" s="44" t="s">
        <v>167</v>
      </c>
      <c r="B435" s="45" t="s">
        <v>866</v>
      </c>
      <c r="C435" s="44" t="s">
        <v>867</v>
      </c>
      <c r="D435" s="22">
        <v>2</v>
      </c>
      <c r="E435" s="44">
        <v>530.76</v>
      </c>
      <c r="F435" s="44">
        <f t="shared" si="3"/>
        <v>1061.52</v>
      </c>
      <c r="G435" s="19" t="s">
        <v>18</v>
      </c>
      <c r="H435" s="25">
        <v>2</v>
      </c>
      <c r="I435" s="32"/>
      <c r="J435" s="33"/>
      <c r="K435" s="30"/>
      <c r="L435" s="34"/>
    </row>
    <row r="436" spans="1:12" x14ac:dyDescent="0.25">
      <c r="A436" s="44" t="s">
        <v>167</v>
      </c>
      <c r="B436" s="45" t="s">
        <v>868</v>
      </c>
      <c r="C436" s="44" t="s">
        <v>865</v>
      </c>
      <c r="D436" s="22">
        <v>2</v>
      </c>
      <c r="E436" s="44">
        <v>1285.75</v>
      </c>
      <c r="F436" s="44">
        <f t="shared" si="3"/>
        <v>2571.5</v>
      </c>
      <c r="G436" s="19" t="s">
        <v>18</v>
      </c>
      <c r="H436" s="25">
        <v>2</v>
      </c>
      <c r="I436" s="32"/>
      <c r="J436" s="33"/>
      <c r="K436" s="30"/>
      <c r="L436" s="34"/>
    </row>
    <row r="437" spans="1:12" x14ac:dyDescent="0.25">
      <c r="A437" s="44" t="s">
        <v>167</v>
      </c>
      <c r="B437" s="45" t="s">
        <v>869</v>
      </c>
      <c r="C437" s="44" t="s">
        <v>870</v>
      </c>
      <c r="D437" s="22">
        <v>2</v>
      </c>
      <c r="E437" s="44">
        <v>22019.96</v>
      </c>
      <c r="F437" s="44">
        <f t="shared" si="3"/>
        <v>44039.92</v>
      </c>
      <c r="G437" s="47" t="s">
        <v>50</v>
      </c>
      <c r="H437" s="25">
        <v>2</v>
      </c>
      <c r="I437" s="32"/>
      <c r="J437" s="33"/>
      <c r="K437" s="30"/>
      <c r="L437" s="34"/>
    </row>
    <row r="438" spans="1:12" x14ac:dyDescent="0.25">
      <c r="A438" s="35" t="s">
        <v>167</v>
      </c>
      <c r="B438" s="36" t="s">
        <v>871</v>
      </c>
      <c r="C438" s="35" t="s">
        <v>728</v>
      </c>
      <c r="D438" s="22">
        <v>2</v>
      </c>
      <c r="E438" s="46">
        <v>7399.92</v>
      </c>
      <c r="F438" s="44">
        <f t="shared" si="3"/>
        <v>14799.84</v>
      </c>
      <c r="G438" s="25" t="s">
        <v>18</v>
      </c>
      <c r="H438" s="25">
        <v>2</v>
      </c>
      <c r="I438" s="32"/>
      <c r="J438" s="33"/>
      <c r="K438" s="30"/>
      <c r="L438" s="34"/>
    </row>
    <row r="439" spans="1:12" x14ac:dyDescent="0.25">
      <c r="A439" s="35" t="s">
        <v>167</v>
      </c>
      <c r="B439" s="36" t="s">
        <v>872</v>
      </c>
      <c r="C439" s="35" t="s">
        <v>865</v>
      </c>
      <c r="D439" s="22">
        <v>2</v>
      </c>
      <c r="E439" s="46">
        <v>1124.19</v>
      </c>
      <c r="F439" s="44">
        <f t="shared" si="3"/>
        <v>2248.38</v>
      </c>
      <c r="G439" s="25" t="s">
        <v>50</v>
      </c>
      <c r="H439" s="25">
        <v>2</v>
      </c>
      <c r="I439" s="32"/>
      <c r="J439" s="33"/>
      <c r="K439" s="30"/>
      <c r="L439" s="34"/>
    </row>
    <row r="440" spans="1:12" x14ac:dyDescent="0.25">
      <c r="A440" s="44" t="s">
        <v>167</v>
      </c>
      <c r="B440" s="45" t="s">
        <v>873</v>
      </c>
      <c r="C440" s="44" t="s">
        <v>865</v>
      </c>
      <c r="D440" s="22">
        <v>2</v>
      </c>
      <c r="E440" s="44">
        <v>1434.5</v>
      </c>
      <c r="F440" s="44">
        <f t="shared" si="3"/>
        <v>2869</v>
      </c>
      <c r="G440" s="25" t="s">
        <v>38</v>
      </c>
      <c r="H440" s="25">
        <v>2</v>
      </c>
      <c r="I440" s="32"/>
      <c r="J440" s="33"/>
      <c r="K440" s="30"/>
      <c r="L440" s="34"/>
    </row>
    <row r="441" spans="1:12" x14ac:dyDescent="0.25">
      <c r="A441" s="44" t="s">
        <v>167</v>
      </c>
      <c r="B441" s="45" t="s">
        <v>874</v>
      </c>
      <c r="C441" s="44" t="s">
        <v>875</v>
      </c>
      <c r="D441" s="22">
        <v>2</v>
      </c>
      <c r="E441" s="44">
        <v>5841.76</v>
      </c>
      <c r="F441" s="44">
        <f t="shared" si="3"/>
        <v>11683.52</v>
      </c>
      <c r="G441" s="19" t="s">
        <v>38</v>
      </c>
      <c r="H441" s="25">
        <v>2</v>
      </c>
      <c r="I441" s="32"/>
      <c r="J441" s="33"/>
      <c r="K441" s="30"/>
      <c r="L441" s="34"/>
    </row>
    <row r="442" spans="1:12" x14ac:dyDescent="0.25">
      <c r="A442" s="44" t="s">
        <v>167</v>
      </c>
      <c r="B442" s="45" t="s">
        <v>876</v>
      </c>
      <c r="C442" s="44" t="s">
        <v>545</v>
      </c>
      <c r="D442" s="22">
        <v>2</v>
      </c>
      <c r="E442" s="44">
        <v>6929.85</v>
      </c>
      <c r="F442" s="44">
        <f t="shared" si="3"/>
        <v>13859.7</v>
      </c>
      <c r="G442" s="47" t="s">
        <v>50</v>
      </c>
      <c r="H442" s="25">
        <v>2</v>
      </c>
      <c r="I442" s="32"/>
      <c r="J442" s="33"/>
      <c r="K442" s="30"/>
      <c r="L442" s="34"/>
    </row>
    <row r="443" spans="1:12" x14ac:dyDescent="0.25">
      <c r="A443" s="44" t="s">
        <v>167</v>
      </c>
      <c r="B443" s="45" t="s">
        <v>494</v>
      </c>
      <c r="C443" s="44" t="s">
        <v>865</v>
      </c>
      <c r="D443" s="22">
        <v>2</v>
      </c>
      <c r="E443" s="44">
        <v>1535.81</v>
      </c>
      <c r="F443" s="44">
        <f t="shared" si="3"/>
        <v>3071.62</v>
      </c>
      <c r="G443" s="47" t="s">
        <v>18</v>
      </c>
      <c r="H443" s="25">
        <v>2</v>
      </c>
      <c r="I443" s="32"/>
      <c r="J443" s="33"/>
      <c r="K443" s="30"/>
      <c r="L443" s="34"/>
    </row>
    <row r="444" spans="1:12" x14ac:dyDescent="0.25">
      <c r="A444" s="44" t="s">
        <v>167</v>
      </c>
      <c r="B444" s="45" t="s">
        <v>877</v>
      </c>
      <c r="C444" s="44" t="s">
        <v>545</v>
      </c>
      <c r="D444" s="22">
        <v>2</v>
      </c>
      <c r="E444" s="44">
        <v>2264.5500000000002</v>
      </c>
      <c r="F444" s="44">
        <f t="shared" si="3"/>
        <v>4529.1000000000004</v>
      </c>
      <c r="G444" s="25" t="s">
        <v>317</v>
      </c>
      <c r="H444" s="25">
        <v>2</v>
      </c>
      <c r="I444" s="32"/>
      <c r="J444" s="33"/>
      <c r="K444" s="30"/>
      <c r="L444" s="34"/>
    </row>
    <row r="445" spans="1:12" x14ac:dyDescent="0.25">
      <c r="A445" s="44" t="s">
        <v>878</v>
      </c>
      <c r="B445" s="45" t="s">
        <v>879</v>
      </c>
      <c r="C445" s="44" t="s">
        <v>880</v>
      </c>
      <c r="D445" s="22">
        <v>2</v>
      </c>
      <c r="E445" s="44">
        <v>1235.5899999999999</v>
      </c>
      <c r="F445" s="44">
        <f t="shared" si="3"/>
        <v>2471.1799999999998</v>
      </c>
      <c r="G445" s="19" t="s">
        <v>18</v>
      </c>
      <c r="H445" s="25">
        <v>2</v>
      </c>
      <c r="I445" s="32"/>
      <c r="J445" s="33"/>
      <c r="K445" s="30"/>
      <c r="L445" s="34"/>
    </row>
    <row r="446" spans="1:12" x14ac:dyDescent="0.25">
      <c r="A446" s="44" t="s">
        <v>881</v>
      </c>
      <c r="B446" s="45" t="s">
        <v>882</v>
      </c>
      <c r="C446" s="44" t="s">
        <v>883</v>
      </c>
      <c r="D446" s="22">
        <v>2</v>
      </c>
      <c r="E446" s="44">
        <v>6977.82</v>
      </c>
      <c r="F446" s="44">
        <f t="shared" si="3"/>
        <v>13955.64</v>
      </c>
      <c r="G446" s="19" t="s">
        <v>18</v>
      </c>
      <c r="H446" s="25">
        <v>2</v>
      </c>
      <c r="I446" s="32"/>
      <c r="J446" s="33"/>
      <c r="K446" s="30"/>
      <c r="L446" s="34"/>
    </row>
    <row r="447" spans="1:12" x14ac:dyDescent="0.25">
      <c r="A447" s="44" t="s">
        <v>881</v>
      </c>
      <c r="B447" s="45" t="s">
        <v>884</v>
      </c>
      <c r="C447" s="44" t="s">
        <v>885</v>
      </c>
      <c r="D447" s="22">
        <v>2</v>
      </c>
      <c r="E447" s="44">
        <v>1439.91</v>
      </c>
      <c r="F447" s="44">
        <f t="shared" si="3"/>
        <v>2879.82</v>
      </c>
      <c r="G447" s="25" t="s">
        <v>18</v>
      </c>
      <c r="H447" s="25">
        <v>2</v>
      </c>
      <c r="I447" s="32"/>
      <c r="J447" s="33"/>
      <c r="K447" s="30"/>
      <c r="L447" s="34"/>
    </row>
    <row r="448" spans="1:12" x14ac:dyDescent="0.25">
      <c r="A448" s="44" t="s">
        <v>360</v>
      </c>
      <c r="B448" s="45" t="s">
        <v>886</v>
      </c>
      <c r="C448" s="44" t="s">
        <v>887</v>
      </c>
      <c r="D448" s="22">
        <v>2</v>
      </c>
      <c r="E448" s="44">
        <v>814.79</v>
      </c>
      <c r="F448" s="44">
        <f t="shared" si="3"/>
        <v>1629.58</v>
      </c>
      <c r="G448" s="19" t="s">
        <v>18</v>
      </c>
      <c r="H448" s="25">
        <v>2</v>
      </c>
      <c r="I448" s="32"/>
      <c r="J448" s="33"/>
      <c r="K448" s="30"/>
      <c r="L448" s="34"/>
    </row>
    <row r="449" spans="1:12" x14ac:dyDescent="0.25">
      <c r="A449" s="35" t="s">
        <v>360</v>
      </c>
      <c r="B449" s="36" t="s">
        <v>888</v>
      </c>
      <c r="C449" s="35" t="s">
        <v>889</v>
      </c>
      <c r="D449" s="22">
        <v>2</v>
      </c>
      <c r="E449" s="46">
        <v>762.97</v>
      </c>
      <c r="F449" s="44">
        <f t="shared" si="3"/>
        <v>1525.94</v>
      </c>
      <c r="G449" s="25" t="s">
        <v>18</v>
      </c>
      <c r="H449" s="25">
        <v>2</v>
      </c>
      <c r="I449" s="32"/>
      <c r="J449" s="33"/>
      <c r="K449" s="30"/>
      <c r="L449" s="34"/>
    </row>
    <row r="450" spans="1:12" x14ac:dyDescent="0.25">
      <c r="A450" s="35" t="s">
        <v>360</v>
      </c>
      <c r="B450" s="36" t="s">
        <v>890</v>
      </c>
      <c r="C450" s="35" t="s">
        <v>738</v>
      </c>
      <c r="D450" s="22">
        <v>2</v>
      </c>
      <c r="E450" s="46">
        <v>1428.53</v>
      </c>
      <c r="F450" s="44">
        <f t="shared" si="3"/>
        <v>2857.06</v>
      </c>
      <c r="G450" s="25" t="s">
        <v>18</v>
      </c>
      <c r="H450" s="25">
        <v>2</v>
      </c>
      <c r="I450" s="32"/>
      <c r="J450" s="33"/>
      <c r="K450" s="30"/>
      <c r="L450" s="34"/>
    </row>
    <row r="451" spans="1:12" x14ac:dyDescent="0.25">
      <c r="A451" s="44" t="s">
        <v>360</v>
      </c>
      <c r="B451" s="45" t="s">
        <v>891</v>
      </c>
      <c r="C451" s="44" t="s">
        <v>892</v>
      </c>
      <c r="D451" s="22">
        <v>2</v>
      </c>
      <c r="E451" s="44">
        <v>604.36</v>
      </c>
      <c r="F451" s="35">
        <f t="shared" si="3"/>
        <v>1208.72</v>
      </c>
      <c r="G451" s="19" t="s">
        <v>18</v>
      </c>
      <c r="H451" s="25">
        <v>2</v>
      </c>
      <c r="I451" s="32"/>
      <c r="J451" s="33"/>
      <c r="K451" s="30"/>
      <c r="L451" s="34"/>
    </row>
    <row r="452" spans="1:12" x14ac:dyDescent="0.25">
      <c r="A452" s="44" t="s">
        <v>360</v>
      </c>
      <c r="B452" s="45" t="s">
        <v>893</v>
      </c>
      <c r="C452" s="44" t="s">
        <v>894</v>
      </c>
      <c r="D452" s="22">
        <v>2</v>
      </c>
      <c r="E452" s="44">
        <v>180.13</v>
      </c>
      <c r="F452" s="35">
        <f t="shared" si="3"/>
        <v>360.26</v>
      </c>
      <c r="G452" s="19" t="s">
        <v>18</v>
      </c>
      <c r="H452" s="25">
        <v>2</v>
      </c>
      <c r="I452" s="32"/>
      <c r="J452" s="33"/>
      <c r="K452" s="30"/>
      <c r="L452" s="34"/>
    </row>
    <row r="453" spans="1:12" x14ac:dyDescent="0.25">
      <c r="A453" s="44" t="s">
        <v>360</v>
      </c>
      <c r="B453" s="45" t="s">
        <v>895</v>
      </c>
      <c r="C453" s="44" t="s">
        <v>896</v>
      </c>
      <c r="D453" s="22">
        <v>2</v>
      </c>
      <c r="E453" s="44">
        <v>273.67</v>
      </c>
      <c r="F453" s="44">
        <f t="shared" si="3"/>
        <v>547.34</v>
      </c>
      <c r="G453" s="19" t="s">
        <v>18</v>
      </c>
      <c r="H453" s="25">
        <v>2</v>
      </c>
      <c r="I453" s="32"/>
      <c r="J453" s="33"/>
      <c r="K453" s="30"/>
      <c r="L453" s="34"/>
    </row>
    <row r="454" spans="1:12" x14ac:dyDescent="0.25">
      <c r="A454" s="44" t="s">
        <v>360</v>
      </c>
      <c r="B454" s="45" t="s">
        <v>897</v>
      </c>
      <c r="C454" s="44" t="s">
        <v>898</v>
      </c>
      <c r="D454" s="22">
        <v>2</v>
      </c>
      <c r="E454" s="44">
        <v>1115.96</v>
      </c>
      <c r="F454" s="44">
        <f t="shared" si="3"/>
        <v>2231.92</v>
      </c>
      <c r="G454" s="19" t="s">
        <v>18</v>
      </c>
      <c r="H454" s="25">
        <v>2</v>
      </c>
      <c r="I454" s="32"/>
      <c r="J454" s="33"/>
      <c r="K454" s="30"/>
      <c r="L454" s="34"/>
    </row>
    <row r="455" spans="1:12" x14ac:dyDescent="0.25">
      <c r="A455" s="44" t="s">
        <v>360</v>
      </c>
      <c r="B455" s="45" t="s">
        <v>899</v>
      </c>
      <c r="C455" s="44" t="s">
        <v>900</v>
      </c>
      <c r="D455" s="22">
        <v>2</v>
      </c>
      <c r="E455" s="44">
        <v>2273.36</v>
      </c>
      <c r="F455" s="44">
        <f t="shared" si="3"/>
        <v>4546.72</v>
      </c>
      <c r="G455" s="19" t="s">
        <v>18</v>
      </c>
      <c r="H455" s="25">
        <v>2</v>
      </c>
      <c r="I455" s="32"/>
      <c r="J455" s="33"/>
      <c r="K455" s="30"/>
      <c r="L455" s="34"/>
    </row>
    <row r="456" spans="1:12" x14ac:dyDescent="0.25">
      <c r="A456" s="44" t="s">
        <v>360</v>
      </c>
      <c r="B456" s="45" t="s">
        <v>901</v>
      </c>
      <c r="C456" s="44" t="s">
        <v>902</v>
      </c>
      <c r="D456" s="22">
        <v>2</v>
      </c>
      <c r="E456" s="44">
        <v>1308.8399999999999</v>
      </c>
      <c r="F456" s="44">
        <f t="shared" si="3"/>
        <v>2617.6799999999998</v>
      </c>
      <c r="G456" s="19" t="s">
        <v>18</v>
      </c>
      <c r="H456" s="25">
        <v>2</v>
      </c>
      <c r="I456" s="32"/>
      <c r="J456" s="33"/>
      <c r="K456" s="30"/>
      <c r="L456" s="34"/>
    </row>
    <row r="457" spans="1:12" x14ac:dyDescent="0.25">
      <c r="A457" s="44" t="s">
        <v>360</v>
      </c>
      <c r="B457" s="45" t="s">
        <v>895</v>
      </c>
      <c r="C457" s="44" t="s">
        <v>896</v>
      </c>
      <c r="D457" s="22">
        <v>2</v>
      </c>
      <c r="E457" s="44">
        <v>273.67</v>
      </c>
      <c r="F457" s="44">
        <f t="shared" si="3"/>
        <v>547.34</v>
      </c>
      <c r="G457" s="19" t="s">
        <v>18</v>
      </c>
      <c r="H457" s="25">
        <v>2</v>
      </c>
      <c r="I457" s="32"/>
      <c r="J457" s="33"/>
      <c r="K457" s="30"/>
      <c r="L457" s="34"/>
    </row>
    <row r="458" spans="1:12" x14ac:dyDescent="0.25">
      <c r="A458" s="44" t="s">
        <v>360</v>
      </c>
      <c r="B458" s="45" t="s">
        <v>903</v>
      </c>
      <c r="C458" s="44" t="s">
        <v>904</v>
      </c>
      <c r="D458" s="22">
        <v>2</v>
      </c>
      <c r="E458" s="44">
        <v>906.76</v>
      </c>
      <c r="F458" s="44">
        <f t="shared" si="3"/>
        <v>1813.52</v>
      </c>
      <c r="G458" s="19" t="s">
        <v>18</v>
      </c>
      <c r="H458" s="25">
        <v>2</v>
      </c>
      <c r="I458" s="32"/>
      <c r="J458" s="33"/>
      <c r="K458" s="30"/>
      <c r="L458" s="34"/>
    </row>
    <row r="459" spans="1:12" x14ac:dyDescent="0.25">
      <c r="A459" s="44" t="s">
        <v>360</v>
      </c>
      <c r="B459" s="45" t="s">
        <v>905</v>
      </c>
      <c r="C459" s="44" t="s">
        <v>906</v>
      </c>
      <c r="D459" s="22">
        <v>2</v>
      </c>
      <c r="E459" s="44">
        <v>264.13</v>
      </c>
      <c r="F459" s="44">
        <f t="shared" si="3"/>
        <v>528.26</v>
      </c>
      <c r="G459" s="19" t="s">
        <v>18</v>
      </c>
      <c r="H459" s="25">
        <v>2</v>
      </c>
      <c r="I459" s="32"/>
      <c r="J459" s="33"/>
      <c r="K459" s="30"/>
      <c r="L459" s="34"/>
    </row>
    <row r="460" spans="1:12" x14ac:dyDescent="0.25">
      <c r="A460" s="44" t="s">
        <v>360</v>
      </c>
      <c r="B460" s="45" t="s">
        <v>907</v>
      </c>
      <c r="C460" s="44" t="s">
        <v>735</v>
      </c>
      <c r="D460" s="22">
        <v>2</v>
      </c>
      <c r="E460" s="44">
        <v>181.52</v>
      </c>
      <c r="F460" s="44">
        <f t="shared" si="3"/>
        <v>363.04</v>
      </c>
      <c r="G460" s="47" t="s">
        <v>18</v>
      </c>
      <c r="H460" s="25">
        <v>2</v>
      </c>
      <c r="I460" s="32"/>
      <c r="J460" s="33"/>
      <c r="K460" s="30"/>
      <c r="L460" s="34"/>
    </row>
    <row r="461" spans="1:12" x14ac:dyDescent="0.25">
      <c r="A461" s="44" t="s">
        <v>309</v>
      </c>
      <c r="B461" s="45" t="s">
        <v>908</v>
      </c>
      <c r="C461" s="44" t="s">
        <v>909</v>
      </c>
      <c r="D461" s="22">
        <v>2</v>
      </c>
      <c r="E461" s="44">
        <v>1081.44</v>
      </c>
      <c r="F461" s="44">
        <f t="shared" si="3"/>
        <v>2162.88</v>
      </c>
      <c r="G461" s="19" t="s">
        <v>18</v>
      </c>
      <c r="H461" s="25">
        <v>2</v>
      </c>
      <c r="I461" s="32"/>
      <c r="J461" s="33"/>
      <c r="K461" s="30"/>
      <c r="L461" s="34"/>
    </row>
    <row r="462" spans="1:12" x14ac:dyDescent="0.25">
      <c r="A462" s="44" t="s">
        <v>309</v>
      </c>
      <c r="B462" s="45" t="s">
        <v>910</v>
      </c>
      <c r="C462" s="44" t="s">
        <v>707</v>
      </c>
      <c r="D462" s="22">
        <v>2</v>
      </c>
      <c r="E462" s="44">
        <v>1252.96</v>
      </c>
      <c r="F462" s="44">
        <f t="shared" si="3"/>
        <v>2505.92</v>
      </c>
      <c r="G462" s="25" t="s">
        <v>50</v>
      </c>
      <c r="H462" s="25">
        <v>2</v>
      </c>
      <c r="I462" s="32"/>
      <c r="J462" s="33"/>
      <c r="K462" s="30"/>
      <c r="L462" s="34"/>
    </row>
    <row r="463" spans="1:12" x14ac:dyDescent="0.25">
      <c r="A463" s="44" t="s">
        <v>289</v>
      </c>
      <c r="B463" s="45" t="s">
        <v>911</v>
      </c>
      <c r="C463" s="44" t="s">
        <v>912</v>
      </c>
      <c r="D463" s="22">
        <v>2</v>
      </c>
      <c r="E463" s="44">
        <v>2830.99</v>
      </c>
      <c r="F463" s="44">
        <f t="shared" si="3"/>
        <v>5661.98</v>
      </c>
      <c r="G463" s="19" t="s">
        <v>18</v>
      </c>
      <c r="H463" s="25">
        <v>2</v>
      </c>
      <c r="I463" s="32"/>
      <c r="J463" s="33"/>
      <c r="K463" s="30"/>
      <c r="L463" s="34"/>
    </row>
    <row r="464" spans="1:12" x14ac:dyDescent="0.25">
      <c r="A464" s="35" t="s">
        <v>265</v>
      </c>
      <c r="B464" s="36" t="s">
        <v>913</v>
      </c>
      <c r="C464" s="35" t="s">
        <v>914</v>
      </c>
      <c r="D464" s="22">
        <v>2</v>
      </c>
      <c r="E464" s="46">
        <v>637.23</v>
      </c>
      <c r="F464" s="44">
        <f t="shared" si="3"/>
        <v>1274.46</v>
      </c>
      <c r="G464" s="25" t="s">
        <v>18</v>
      </c>
      <c r="H464" s="25">
        <v>2</v>
      </c>
      <c r="I464" s="32"/>
      <c r="J464" s="33"/>
      <c r="K464" s="30"/>
      <c r="L464" s="34"/>
    </row>
    <row r="465" spans="1:12" x14ac:dyDescent="0.25">
      <c r="A465" s="35" t="s">
        <v>265</v>
      </c>
      <c r="B465" s="36" t="s">
        <v>915</v>
      </c>
      <c r="C465" s="35" t="s">
        <v>916</v>
      </c>
      <c r="D465" s="22">
        <v>2</v>
      </c>
      <c r="E465" s="46">
        <v>3033.98</v>
      </c>
      <c r="F465" s="44">
        <f t="shared" si="3"/>
        <v>6067.96</v>
      </c>
      <c r="G465" s="25" t="s">
        <v>18</v>
      </c>
      <c r="H465" s="25">
        <v>2</v>
      </c>
      <c r="I465" s="32"/>
      <c r="J465" s="33"/>
      <c r="K465" s="30"/>
      <c r="L465" s="34"/>
    </row>
    <row r="466" spans="1:12" x14ac:dyDescent="0.25">
      <c r="A466" s="44" t="s">
        <v>265</v>
      </c>
      <c r="B466" s="45" t="s">
        <v>917</v>
      </c>
      <c r="C466" s="44" t="s">
        <v>918</v>
      </c>
      <c r="D466" s="22">
        <v>2</v>
      </c>
      <c r="E466" s="44">
        <v>1340.2</v>
      </c>
      <c r="F466" s="35">
        <f t="shared" si="3"/>
        <v>2680.4</v>
      </c>
      <c r="G466" s="19" t="s">
        <v>18</v>
      </c>
      <c r="H466" s="25">
        <v>2</v>
      </c>
      <c r="I466" s="32"/>
      <c r="J466" s="33"/>
      <c r="K466" s="30"/>
      <c r="L466" s="34"/>
    </row>
    <row r="467" spans="1:12" x14ac:dyDescent="0.25">
      <c r="A467" s="44" t="s">
        <v>265</v>
      </c>
      <c r="B467" s="45" t="s">
        <v>919</v>
      </c>
      <c r="C467" s="44" t="s">
        <v>681</v>
      </c>
      <c r="D467" s="22">
        <v>2</v>
      </c>
      <c r="E467" s="44">
        <v>925.27</v>
      </c>
      <c r="F467" s="44">
        <f t="shared" si="3"/>
        <v>1850.54</v>
      </c>
      <c r="G467" s="19" t="s">
        <v>18</v>
      </c>
      <c r="H467" s="25">
        <v>2</v>
      </c>
      <c r="I467" s="32"/>
      <c r="J467" s="33"/>
      <c r="K467" s="30"/>
      <c r="L467" s="34"/>
    </row>
    <row r="468" spans="1:12" x14ac:dyDescent="0.25">
      <c r="A468" s="44" t="s">
        <v>920</v>
      </c>
      <c r="B468" s="45" t="s">
        <v>921</v>
      </c>
      <c r="C468" s="44" t="s">
        <v>922</v>
      </c>
      <c r="D468" s="22">
        <v>2</v>
      </c>
      <c r="E468" s="44">
        <v>1380.33</v>
      </c>
      <c r="F468" s="44">
        <f t="shared" si="3"/>
        <v>2760.66</v>
      </c>
      <c r="G468" s="25" t="s">
        <v>38</v>
      </c>
      <c r="H468" s="25">
        <v>2</v>
      </c>
      <c r="I468" s="32"/>
      <c r="J468" s="33"/>
      <c r="K468" s="30"/>
      <c r="L468" s="34"/>
    </row>
    <row r="469" spans="1:12" x14ac:dyDescent="0.25">
      <c r="A469" s="44" t="s">
        <v>920</v>
      </c>
      <c r="B469" s="45" t="s">
        <v>923</v>
      </c>
      <c r="C469" s="44" t="s">
        <v>924</v>
      </c>
      <c r="D469" s="22">
        <v>2</v>
      </c>
      <c r="E469" s="44">
        <v>1380.33</v>
      </c>
      <c r="F469" s="44">
        <f t="shared" si="3"/>
        <v>2760.66</v>
      </c>
      <c r="G469" s="25" t="s">
        <v>38</v>
      </c>
      <c r="H469" s="25">
        <v>2</v>
      </c>
      <c r="I469" s="32"/>
      <c r="J469" s="33"/>
      <c r="K469" s="30"/>
      <c r="L469" s="34"/>
    </row>
    <row r="470" spans="1:12" x14ac:dyDescent="0.25">
      <c r="A470" s="44" t="s">
        <v>925</v>
      </c>
      <c r="B470" s="45" t="s">
        <v>926</v>
      </c>
      <c r="C470" s="44" t="s">
        <v>927</v>
      </c>
      <c r="D470" s="22">
        <v>2</v>
      </c>
      <c r="E470" s="44">
        <v>2072.88</v>
      </c>
      <c r="F470" s="44">
        <f t="shared" si="3"/>
        <v>4145.76</v>
      </c>
      <c r="G470" s="19" t="s">
        <v>50</v>
      </c>
      <c r="H470" s="25">
        <v>2</v>
      </c>
      <c r="I470" s="32"/>
      <c r="J470" s="33"/>
      <c r="K470" s="30"/>
      <c r="L470" s="34"/>
    </row>
    <row r="471" spans="1:12" x14ac:dyDescent="0.25">
      <c r="A471" s="14" t="s">
        <v>303</v>
      </c>
      <c r="B471" s="15" t="s">
        <v>315</v>
      </c>
      <c r="C471" s="16" t="s">
        <v>316</v>
      </c>
      <c r="D471" s="22">
        <v>2</v>
      </c>
      <c r="E471" s="18">
        <v>824</v>
      </c>
      <c r="F471" s="18">
        <v>824</v>
      </c>
      <c r="G471" s="17" t="s">
        <v>317</v>
      </c>
      <c r="H471" s="25">
        <v>9</v>
      </c>
      <c r="I471" s="32"/>
      <c r="J471" s="33"/>
      <c r="K471" s="30"/>
      <c r="L471" s="34"/>
    </row>
    <row r="472" spans="1:12" x14ac:dyDescent="0.25">
      <c r="A472" s="14" t="s">
        <v>271</v>
      </c>
      <c r="B472" s="15" t="s">
        <v>928</v>
      </c>
      <c r="C472" s="16" t="s">
        <v>929</v>
      </c>
      <c r="D472" s="22">
        <v>2</v>
      </c>
      <c r="E472" s="18">
        <v>1442</v>
      </c>
      <c r="F472" s="18">
        <v>2884</v>
      </c>
      <c r="G472" s="17" t="s">
        <v>317</v>
      </c>
      <c r="H472" s="25">
        <v>9</v>
      </c>
      <c r="I472" s="32"/>
      <c r="J472" s="33"/>
      <c r="K472" s="30"/>
      <c r="L472" s="34"/>
    </row>
    <row r="473" spans="1:12" x14ac:dyDescent="0.25">
      <c r="A473" s="14" t="s">
        <v>271</v>
      </c>
      <c r="B473" s="15" t="s">
        <v>930</v>
      </c>
      <c r="C473" s="16" t="s">
        <v>931</v>
      </c>
      <c r="D473" s="22">
        <v>2</v>
      </c>
      <c r="E473" s="18">
        <v>1339</v>
      </c>
      <c r="F473" s="18">
        <v>1339</v>
      </c>
      <c r="G473" s="17" t="s">
        <v>317</v>
      </c>
      <c r="H473" s="25">
        <v>9</v>
      </c>
      <c r="I473" s="32"/>
      <c r="J473" s="33"/>
      <c r="K473" s="30"/>
      <c r="L473" s="34"/>
    </row>
    <row r="474" spans="1:12" x14ac:dyDescent="0.25">
      <c r="A474" s="14" t="s">
        <v>932</v>
      </c>
      <c r="B474" s="15" t="s">
        <v>933</v>
      </c>
      <c r="C474" s="16" t="s">
        <v>934</v>
      </c>
      <c r="D474" s="22">
        <v>2</v>
      </c>
      <c r="E474" s="18">
        <v>309</v>
      </c>
      <c r="F474" s="18">
        <v>309</v>
      </c>
      <c r="G474" s="17" t="s">
        <v>317</v>
      </c>
      <c r="H474" s="25">
        <v>9</v>
      </c>
      <c r="I474" s="32"/>
      <c r="J474" s="33"/>
      <c r="K474" s="30"/>
      <c r="L474" s="3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M10"/>
  <sheetViews>
    <sheetView zoomScale="85" zoomScaleNormal="85" workbookViewId="0">
      <selection activeCell="A2" sqref="A2:F8"/>
    </sheetView>
  </sheetViews>
  <sheetFormatPr defaultRowHeight="15" x14ac:dyDescent="0.25"/>
  <cols>
    <col min="1" max="13" width="15.28515625" customWidth="1"/>
  </cols>
  <sheetData>
    <row r="1" spans="1:13" x14ac:dyDescent="0.2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2" t="s">
        <v>6</v>
      </c>
      <c r="H1" s="5" t="s">
        <v>7</v>
      </c>
      <c r="I1" s="2" t="s">
        <v>8</v>
      </c>
      <c r="J1" s="6" t="s">
        <v>9</v>
      </c>
      <c r="K1" s="2" t="s">
        <v>10</v>
      </c>
      <c r="L1" s="2" t="s">
        <v>11</v>
      </c>
      <c r="M1" s="7" t="s">
        <v>12</v>
      </c>
    </row>
    <row r="2" spans="1:13" x14ac:dyDescent="0.25">
      <c r="A2" t="s">
        <v>15</v>
      </c>
      <c r="B2">
        <v>71031</v>
      </c>
      <c r="C2" t="s">
        <v>34</v>
      </c>
      <c r="D2">
        <v>14</v>
      </c>
      <c r="E2" t="s">
        <v>935</v>
      </c>
      <c r="F2">
        <v>34473.46</v>
      </c>
      <c r="G2" t="s">
        <v>18</v>
      </c>
      <c r="H2">
        <v>8</v>
      </c>
    </row>
    <row r="3" spans="1:13" x14ac:dyDescent="0.25">
      <c r="A3" t="s">
        <v>260</v>
      </c>
      <c r="B3">
        <v>71031</v>
      </c>
      <c r="C3" t="s">
        <v>513</v>
      </c>
      <c r="D3">
        <v>2</v>
      </c>
      <c r="E3" t="s">
        <v>936</v>
      </c>
      <c r="F3">
        <v>4862.8599999999997</v>
      </c>
      <c r="G3" t="s">
        <v>18</v>
      </c>
      <c r="H3">
        <v>2</v>
      </c>
    </row>
    <row r="4" spans="1:13" x14ac:dyDescent="0.25">
      <c r="A4" t="s">
        <v>15</v>
      </c>
      <c r="B4">
        <v>71031</v>
      </c>
      <c r="C4" t="s">
        <v>34</v>
      </c>
      <c r="D4">
        <v>13</v>
      </c>
      <c r="E4" t="s">
        <v>935</v>
      </c>
      <c r="F4">
        <v>32011.07</v>
      </c>
      <c r="G4" t="s">
        <v>18</v>
      </c>
      <c r="H4">
        <v>5</v>
      </c>
    </row>
    <row r="5" spans="1:13" x14ac:dyDescent="0.25">
      <c r="A5" t="s">
        <v>63</v>
      </c>
      <c r="B5">
        <v>551948</v>
      </c>
      <c r="C5" t="s">
        <v>71</v>
      </c>
      <c r="D5">
        <v>2</v>
      </c>
      <c r="E5" t="s">
        <v>937</v>
      </c>
      <c r="F5">
        <v>347.12</v>
      </c>
      <c r="G5" t="s">
        <v>50</v>
      </c>
      <c r="H5">
        <v>8</v>
      </c>
    </row>
    <row r="6" spans="1:13" x14ac:dyDescent="0.25">
      <c r="A6" t="s">
        <v>110</v>
      </c>
      <c r="B6">
        <v>324402</v>
      </c>
      <c r="C6" t="s">
        <v>114</v>
      </c>
      <c r="D6">
        <v>1</v>
      </c>
      <c r="E6" t="s">
        <v>938</v>
      </c>
      <c r="F6">
        <v>8587.77</v>
      </c>
      <c r="G6" t="s">
        <v>18</v>
      </c>
      <c r="H6">
        <v>8</v>
      </c>
    </row>
    <row r="7" spans="1:13" x14ac:dyDescent="0.25">
      <c r="A7" t="s">
        <v>56</v>
      </c>
      <c r="B7" t="s">
        <v>57</v>
      </c>
      <c r="C7" t="s">
        <v>58</v>
      </c>
      <c r="D7">
        <v>1</v>
      </c>
      <c r="E7" t="s">
        <v>939</v>
      </c>
      <c r="F7">
        <v>23321.040000000001</v>
      </c>
      <c r="G7" t="s">
        <v>18</v>
      </c>
      <c r="H7">
        <v>8</v>
      </c>
    </row>
    <row r="8" spans="1:13" x14ac:dyDescent="0.25">
      <c r="A8" t="s">
        <v>75</v>
      </c>
      <c r="B8" t="s">
        <v>76</v>
      </c>
      <c r="C8" t="s">
        <v>77</v>
      </c>
      <c r="D8">
        <v>2</v>
      </c>
      <c r="E8" t="s">
        <v>940</v>
      </c>
      <c r="F8">
        <v>9796.16</v>
      </c>
      <c r="G8" t="s">
        <v>18</v>
      </c>
      <c r="H8">
        <v>8</v>
      </c>
    </row>
    <row r="9" spans="1:13" x14ac:dyDescent="0.25">
      <c r="A9" t="s">
        <v>35</v>
      </c>
      <c r="B9">
        <v>10101100</v>
      </c>
      <c r="C9" t="s">
        <v>37</v>
      </c>
      <c r="D9">
        <v>19</v>
      </c>
      <c r="E9" t="s">
        <v>948</v>
      </c>
      <c r="F9">
        <v>49460.61</v>
      </c>
      <c r="G9" t="s">
        <v>38</v>
      </c>
      <c r="H9">
        <v>8</v>
      </c>
      <c r="L9" t="s">
        <v>949</v>
      </c>
    </row>
    <row r="10" spans="1:13" x14ac:dyDescent="0.25">
      <c r="A10" t="s">
        <v>35</v>
      </c>
      <c r="B10">
        <v>10101100</v>
      </c>
      <c r="C10" t="s">
        <v>37</v>
      </c>
      <c r="D10">
        <v>3</v>
      </c>
      <c r="E10" t="s">
        <v>948</v>
      </c>
      <c r="F10">
        <v>7809.57</v>
      </c>
      <c r="G10" t="s">
        <v>38</v>
      </c>
      <c r="H10">
        <v>7</v>
      </c>
      <c r="L10" t="s">
        <v>949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M2"/>
  <sheetViews>
    <sheetView zoomScale="85" zoomScaleNormal="85" workbookViewId="0">
      <selection activeCell="A2" sqref="A2:M2"/>
    </sheetView>
  </sheetViews>
  <sheetFormatPr defaultRowHeight="15" x14ac:dyDescent="0.25"/>
  <cols>
    <col min="1" max="13" width="15.28515625" customWidth="1"/>
  </cols>
  <sheetData>
    <row r="1" spans="1:13" x14ac:dyDescent="0.2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2" t="s">
        <v>6</v>
      </c>
      <c r="H1" s="5" t="s">
        <v>7</v>
      </c>
      <c r="I1" s="2" t="s">
        <v>8</v>
      </c>
      <c r="J1" s="6" t="s">
        <v>9</v>
      </c>
      <c r="K1" s="2" t="s">
        <v>10</v>
      </c>
      <c r="L1" s="2" t="s">
        <v>11</v>
      </c>
      <c r="M1" s="7" t="s">
        <v>12</v>
      </c>
    </row>
    <row r="2" spans="1:13" x14ac:dyDescent="0.25">
      <c r="A2" t="s">
        <v>35</v>
      </c>
      <c r="B2">
        <v>10101100</v>
      </c>
      <c r="C2" t="s">
        <v>37</v>
      </c>
      <c r="D2">
        <v>3</v>
      </c>
      <c r="E2" t="s">
        <v>948</v>
      </c>
      <c r="F2">
        <v>7809.57</v>
      </c>
      <c r="G2" t="s">
        <v>38</v>
      </c>
      <c r="H2">
        <v>7</v>
      </c>
      <c r="L2" t="s">
        <v>949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2"/>
  <sheetViews>
    <sheetView zoomScale="85" zoomScaleNormal="85" workbookViewId="0">
      <selection activeCell="A2" sqref="A2:M2"/>
    </sheetView>
  </sheetViews>
  <sheetFormatPr defaultRowHeight="15" x14ac:dyDescent="0.25"/>
  <cols>
    <col min="1" max="13" width="15.28515625" customWidth="1"/>
  </cols>
  <sheetData>
    <row r="1" spans="1:13" x14ac:dyDescent="0.2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2" t="s">
        <v>6</v>
      </c>
      <c r="H1" s="5" t="s">
        <v>7</v>
      </c>
      <c r="I1" s="2" t="s">
        <v>8</v>
      </c>
      <c r="J1" s="6" t="s">
        <v>9</v>
      </c>
      <c r="K1" s="2" t="s">
        <v>10</v>
      </c>
      <c r="L1" s="2" t="s">
        <v>11</v>
      </c>
      <c r="M1" s="7" t="s">
        <v>12</v>
      </c>
    </row>
    <row r="2" spans="1:13" x14ac:dyDescent="0.25">
      <c r="A2" t="s">
        <v>35</v>
      </c>
      <c r="B2">
        <v>10101100</v>
      </c>
      <c r="C2" t="s">
        <v>37</v>
      </c>
      <c r="D2">
        <v>12</v>
      </c>
      <c r="E2" t="s">
        <v>948</v>
      </c>
      <c r="F2">
        <v>31238.28</v>
      </c>
      <c r="G2" t="s">
        <v>38</v>
      </c>
      <c r="H2">
        <v>8</v>
      </c>
      <c r="L2" t="s">
        <v>949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W5"/>
  <sheetViews>
    <sheetView workbookViewId="0">
      <selection activeCell="J11" sqref="J11"/>
    </sheetView>
  </sheetViews>
  <sheetFormatPr defaultRowHeight="15" x14ac:dyDescent="0.25"/>
  <sheetData>
    <row r="1" spans="1:23" ht="15.75" x14ac:dyDescent="0.25">
      <c r="A1" s="49"/>
      <c r="B1" s="49"/>
      <c r="C1" s="49"/>
      <c r="D1" s="50"/>
      <c r="E1" s="50"/>
      <c r="G1" s="51"/>
      <c r="H1" s="51"/>
      <c r="I1" s="51"/>
      <c r="J1" s="51"/>
      <c r="K1" s="52" t="s">
        <v>0</v>
      </c>
      <c r="L1" s="53" t="s">
        <v>1</v>
      </c>
      <c r="M1" s="52" t="s">
        <v>2</v>
      </c>
      <c r="N1" s="53" t="s">
        <v>3</v>
      </c>
      <c r="O1" s="54" t="s">
        <v>4</v>
      </c>
      <c r="P1" s="54" t="s">
        <v>5</v>
      </c>
      <c r="Q1" s="53" t="s">
        <v>6</v>
      </c>
      <c r="R1" s="55" t="s">
        <v>7</v>
      </c>
      <c r="S1" s="52" t="s">
        <v>8</v>
      </c>
      <c r="T1" s="56" t="s">
        <v>9</v>
      </c>
      <c r="U1" s="53" t="s">
        <v>10</v>
      </c>
      <c r="V1" s="57" t="s">
        <v>11</v>
      </c>
      <c r="W1" s="58" t="s">
        <v>12</v>
      </c>
    </row>
    <row r="2" spans="1:23" ht="51.75" x14ac:dyDescent="0.25">
      <c r="A2" s="63" t="str">
        <f>Code_128(I2)</f>
        <v>B908818812812821809821098218881@</v>
      </c>
      <c r="B2" s="63"/>
      <c r="C2" s="63"/>
      <c r="D2" s="63"/>
      <c r="E2" s="63"/>
      <c r="G2" s="51"/>
      <c r="H2" s="51"/>
      <c r="I2" s="59" t="s">
        <v>949</v>
      </c>
      <c r="J2" s="51"/>
      <c r="K2" s="51" t="s">
        <v>941</v>
      </c>
      <c r="L2" t="s">
        <v>942</v>
      </c>
      <c r="V2" s="60" t="s">
        <v>943</v>
      </c>
    </row>
    <row r="3" spans="1:23" ht="18" x14ac:dyDescent="0.25">
      <c r="A3" s="64" t="s">
        <v>35</v>
      </c>
      <c r="B3" s="65"/>
      <c r="C3" s="66" t="s">
        <v>36</v>
      </c>
      <c r="D3" s="67"/>
      <c r="E3" s="61" t="s">
        <v>944</v>
      </c>
      <c r="V3" s="62" t="s">
        <v>945</v>
      </c>
    </row>
    <row r="4" spans="1:23" x14ac:dyDescent="0.25">
      <c r="G4" s="51"/>
      <c r="H4" s="51"/>
      <c r="I4" s="51"/>
      <c r="J4" s="51"/>
      <c r="K4" s="68" t="s">
        <v>946</v>
      </c>
      <c r="L4" s="68"/>
    </row>
    <row r="5" spans="1:23" x14ac:dyDescent="0.25">
      <c r="A5" s="51"/>
      <c r="B5" s="51"/>
      <c r="C5" s="51"/>
      <c r="D5" s="51"/>
      <c r="E5" s="51"/>
      <c r="F5" s="51"/>
      <c r="G5" s="51"/>
      <c r="H5" s="51"/>
      <c r="I5" s="51"/>
      <c r="J5" s="51"/>
      <c r="K5" s="51" t="s">
        <v>947</v>
      </c>
      <c r="L5" t="s">
        <v>944</v>
      </c>
    </row>
  </sheetData>
  <mergeCells count="4">
    <mergeCell ref="A2:E2"/>
    <mergeCell ref="A3:B3"/>
    <mergeCell ref="C3:D3"/>
    <mergeCell ref="K4:L4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M5"/>
  <sheetViews>
    <sheetView zoomScale="85" zoomScaleNormal="85" workbookViewId="0">
      <selection activeCell="A5" sqref="A5:M5"/>
    </sheetView>
  </sheetViews>
  <sheetFormatPr defaultRowHeight="15" x14ac:dyDescent="0.25"/>
  <cols>
    <col min="1" max="13" width="15.28515625" customWidth="1"/>
  </cols>
  <sheetData>
    <row r="1" spans="1:13" x14ac:dyDescent="0.2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2" t="s">
        <v>6</v>
      </c>
      <c r="H1" s="5" t="s">
        <v>7</v>
      </c>
      <c r="I1" s="2" t="s">
        <v>8</v>
      </c>
      <c r="J1" s="6" t="s">
        <v>9</v>
      </c>
      <c r="K1" s="2" t="s">
        <v>10</v>
      </c>
      <c r="L1" s="2" t="s">
        <v>11</v>
      </c>
      <c r="M1" s="7" t="s">
        <v>12</v>
      </c>
    </row>
    <row r="2" spans="1:13" x14ac:dyDescent="0.25">
      <c r="A2" t="s">
        <v>15</v>
      </c>
      <c r="B2">
        <v>71031</v>
      </c>
      <c r="C2" t="s">
        <v>34</v>
      </c>
      <c r="D2">
        <v>5</v>
      </c>
      <c r="E2" t="s">
        <v>935</v>
      </c>
      <c r="F2">
        <v>12311.949999999999</v>
      </c>
      <c r="G2" t="s">
        <v>18</v>
      </c>
      <c r="H2">
        <v>8</v>
      </c>
    </row>
    <row r="3" spans="1:13" x14ac:dyDescent="0.25">
      <c r="A3" t="s">
        <v>75</v>
      </c>
      <c r="B3" t="s">
        <v>76</v>
      </c>
      <c r="C3" t="s">
        <v>77</v>
      </c>
      <c r="D3">
        <v>3</v>
      </c>
      <c r="E3" t="s">
        <v>940</v>
      </c>
      <c r="F3">
        <v>14694.24</v>
      </c>
      <c r="G3" t="s">
        <v>18</v>
      </c>
      <c r="H3">
        <v>8</v>
      </c>
    </row>
    <row r="4" spans="1:13" x14ac:dyDescent="0.25">
      <c r="A4" t="s">
        <v>15</v>
      </c>
      <c r="B4">
        <v>82085</v>
      </c>
      <c r="C4" t="s">
        <v>30</v>
      </c>
      <c r="D4">
        <v>2</v>
      </c>
      <c r="E4" t="s">
        <v>950</v>
      </c>
      <c r="F4">
        <v>1808.44</v>
      </c>
      <c r="G4" t="s">
        <v>18</v>
      </c>
      <c r="H4">
        <v>8</v>
      </c>
    </row>
    <row r="5" spans="1:13" x14ac:dyDescent="0.25">
      <c r="A5" t="s">
        <v>35</v>
      </c>
      <c r="B5">
        <v>10101100</v>
      </c>
      <c r="C5" t="s">
        <v>37</v>
      </c>
      <c r="D5">
        <v>7</v>
      </c>
      <c r="E5" t="s">
        <v>948</v>
      </c>
      <c r="F5">
        <v>18222.330000000002</v>
      </c>
      <c r="G5" t="s">
        <v>38</v>
      </c>
      <c r="H5">
        <v>8</v>
      </c>
      <c r="L5" t="s">
        <v>949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M1"/>
  <sheetViews>
    <sheetView zoomScale="85" zoomScaleNormal="85" workbookViewId="0">
      <selection activeCell="A2" sqref="A2:M3"/>
    </sheetView>
  </sheetViews>
  <sheetFormatPr defaultRowHeight="15" x14ac:dyDescent="0.25"/>
  <cols>
    <col min="1" max="13" width="15.28515625" customWidth="1"/>
  </cols>
  <sheetData>
    <row r="1" spans="1:13" x14ac:dyDescent="0.25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2" t="s">
        <v>6</v>
      </c>
      <c r="H1" s="5" t="s">
        <v>7</v>
      </c>
      <c r="I1" s="2" t="s">
        <v>8</v>
      </c>
      <c r="J1" s="6" t="s">
        <v>9</v>
      </c>
      <c r="K1" s="2" t="s">
        <v>10</v>
      </c>
      <c r="L1" s="2" t="s">
        <v>11</v>
      </c>
      <c r="M1" s="7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Панель</vt:lpstr>
      <vt:lpstr>Реестр</vt:lpstr>
      <vt:lpstr>Scanned</vt:lpstr>
      <vt:lpstr>Клиент 7</vt:lpstr>
      <vt:lpstr>Клиент 8</vt:lpstr>
      <vt:lpstr>Штрихкод</vt:lpstr>
      <vt:lpstr>Переизбыток</vt:lpstr>
      <vt:lpstr>Клиент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2020-12-15T16:13:24Z</dcterms:modified>
</cp:coreProperties>
</file>